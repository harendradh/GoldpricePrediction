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ae7d9313ad2efce/AI_DIAGRAMS/GBS_Migration/"/>
    </mc:Choice>
  </mc:AlternateContent>
  <xr:revisionPtr revIDLastSave="0" documentId="8_{8C2E8E1D-E1F4-4CC5-82B1-E483FC8A032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📋 RT App Migration Tracker" sheetId="1" r:id="rId1"/>
    <sheet name="⚙️ Server &amp; Endpoint Config" sheetId="2" r:id="rId2"/>
    <sheet name="📊 Topic &amp; Table Mapping" sheetId="3" r:id="rId3"/>
    <sheet name="📈 Dashboard" sheetId="4" r:id="rId4"/>
    <sheet name="📖 Legend &amp; Guide" sheetId="5" r:id="rId5"/>
  </sheets>
  <definedNames>
    <definedName name="_xlnm._FilterDatabase" localSheetId="0" hidden="1">'📋 RT App Migration Tracker'!$A$8:$AC$15</definedName>
    <definedName name="_xlnm.Print_Titles" localSheetId="0">'📋 RT App Migration Tracker'!$7:$8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4" l="1"/>
  <c r="J4" i="4"/>
  <c r="G4" i="4"/>
  <c r="D26" i="1"/>
  <c r="D4" i="4" s="1"/>
  <c r="V4" i="1"/>
  <c r="J4" i="1"/>
  <c r="G4" i="1"/>
  <c r="D4" i="1"/>
</calcChain>
</file>

<file path=xl/sharedStrings.xml><?xml version="1.0" encoding="utf-8"?>
<sst xmlns="http://schemas.openxmlformats.org/spreadsheetml/2006/main" count="592" uniqueCount="254">
  <si>
    <t>🚀   GBS AUTH  —  Real-Time App Migration Tracker   |   CDP On-Prem  →  Databricks  ·  Cloudera Kafka  →  AWS MSK Active-Active  ·  Kerberos  →  SASL_SSL / SCRAM-SHA-512</t>
  </si>
  <si>
    <t>📦  Total Platforms</t>
  </si>
  <si>
    <t>✅  Completed</t>
  </si>
  <si>
    <t>🔄  In Progress</t>
  </si>
  <si>
    <t>📋  Planned</t>
  </si>
  <si>
    <t>🌎  MSK East Region</t>
  </si>
  <si>
    <t>🌏  MSK West Region</t>
  </si>
  <si>
    <t>🔐  Auth Protocol</t>
  </si>
  <si>
    <t>📅  Last Updated</t>
  </si>
  <si>
    <t>7</t>
  </si>
  <si>
    <t>us-east-1</t>
  </si>
  <si>
    <t>us-west-2</t>
  </si>
  <si>
    <t>SASL_SSL/SCRAM-512</t>
  </si>
  <si>
    <t>📌  IDENTIFICATION</t>
  </si>
  <si>
    <t>📂  AS-IS  (On-Premises CDP)</t>
  </si>
  <si>
    <t>🚀  TO-BE  (AWS Cloud — Databricks)</t>
  </si>
  <si>
    <t>📊  TRACKING &amp; GOVERNANCE</t>
  </si>
  <si>
    <t>📡  Application &amp; Topic</t>
  </si>
  <si>
    <t>🔐  Auth &amp; Infrastructure</t>
  </si>
  <si>
    <t>⚡  App, Topic &amp; Table</t>
  </si>
  <si>
    <t>☁️  MSK Endpoints &amp; Status</t>
  </si>
  <si>
    <t>👤  Ownership &amp; Schedule</t>
  </si>
  <si>
    <t>📝  Technical Config &amp; Notes</t>
  </si>
  <si>
    <t>#</t>
  </si>
  <si>
    <t>Platform Name</t>
  </si>
  <si>
    <t>Environment</t>
  </si>
  <si>
    <t>Migration Status</t>
  </si>
  <si>
    <t>Existing App Name
(CDP Spark)</t>
  </si>
  <si>
    <t>Existing Kafka Topic
(Cloudera)</t>
  </si>
  <si>
    <t>Existing Table / Path
(HDFS)</t>
  </si>
  <si>
    <t>Existing Auth
(Protocol)</t>
  </si>
  <si>
    <t>Existing Kafka
Cluster</t>
  </si>
  <si>
    <t>CDP Cluster
Host / URL</t>
  </si>
  <si>
    <t>Existing
Broker Port</t>
  </si>
  <si>
    <t>Data Format
(As-Is)</t>
  </si>
  <si>
    <t>New App Name
(Databricks)</t>
  </si>
  <si>
    <t>New Kafka Topic
(MSK)</t>
  </si>
  <si>
    <t>New Delta Table
(Unity Cat.)</t>
  </si>
  <si>
    <t>New Auth
Protocol</t>
  </si>
  <si>
    <t>DBX Job Name
(Struct Stream)</t>
  </si>
  <si>
    <t>MSK East Endpoint
(us-east-1)</t>
  </si>
  <si>
    <t>MSK West Endpoint
(us-west-2)</t>
  </si>
  <si>
    <t>East Consumer
Status</t>
  </si>
  <si>
    <t>West Consumer
Status</t>
  </si>
  <si>
    <t>App Owner /
DCS Lead</t>
  </si>
  <si>
    <t>Sprint /
Release</t>
  </si>
  <si>
    <t>Migration
Start Date</t>
  </si>
  <si>
    <t>Go-Live
Target Date</t>
  </si>
  <si>
    <t>DBFS Checkpoint
Path</t>
  </si>
  <si>
    <t>Databricks
Secret Scope</t>
  </si>
  <si>
    <t>Downstream
Consumers</t>
  </si>
  <si>
    <t>Notes / Blockers</t>
  </si>
  <si>
    <t>1</t>
  </si>
  <si>
    <t>🔴  HDC</t>
  </si>
  <si>
    <t>Production</t>
  </si>
  <si>
    <t>✅ Complete</t>
  </si>
  <si>
    <t>HDCAuthStreamApp</t>
  </si>
  <si>
    <t>hdc.auth_txn</t>
  </si>
  <si>
    <t>hdfs:///data/hdc/auth_txn/</t>
  </si>
  <si>
    <t>Kerberos GSSAPI</t>
  </si>
  <si>
    <t>ETIMS Cloudera Kafka</t>
  </si>
  <si>
    <t>cdp-kafka-node01.corp.fiserv.net</t>
  </si>
  <si>
    <t>9092</t>
  </si>
  <si>
    <t>Parquet</t>
  </si>
  <si>
    <t>HDCAuthStreamDBX</t>
  </si>
  <si>
    <t>gbs_auth.hdc_auth_delta</t>
  </si>
  <si>
    <t>SASL_SSL/SCRAM-SHA-512</t>
  </si>
  <si>
    <t>HDCAuth_StructStream_Job</t>
  </si>
  <si>
    <t>b-xxxx.kafka.us-east-1.amazonaws.com:9096</t>
  </si>
  <si>
    <t>b-yyyy.kafka.us-west-2.amazonaws.com:9096</t>
  </si>
  <si>
    <t>✅ Live</t>
  </si>
  <si>
    <t>Raneeth Kumar</t>
  </si>
  <si>
    <t>Sprint 3</t>
  </si>
  <si>
    <t>2026-01-10</t>
  </si>
  <si>
    <t>2026-02-28</t>
  </si>
  <si>
    <t>dbfs:/checkpoints/hdc_auth_txn</t>
  </si>
  <si>
    <t>dcs-gbs-auth-msk-scram</t>
  </si>
  <si>
    <t>FSBI, Single AUTH, Peer Benchmarking</t>
  </si>
  <si>
    <t>Fully migrated. Downstream validated.</t>
  </si>
  <si>
    <t>2</t>
  </si>
  <si>
    <t>🟠  HDC / Debit GW</t>
  </si>
  <si>
    <t>DebitGWStreamApp</t>
  </si>
  <si>
    <t>hdc.debitgw_txn</t>
  </si>
  <si>
    <t>hdfs:///data/hdc/debitgw/</t>
  </si>
  <si>
    <t>DebitGWStreamDBX</t>
  </si>
  <si>
    <t>gbs_auth.debitgw_txn_delta</t>
  </si>
  <si>
    <t>DebitGW_StructStream_Job</t>
  </si>
  <si>
    <t>Rahul Sharma</t>
  </si>
  <si>
    <t>dbfs:/checkpoints/hdc_debitgw_txn</t>
  </si>
  <si>
    <t>FSBI, AltMOPS</t>
  </si>
  <si>
    <t>Fully migrated.</t>
  </si>
  <si>
    <t>3</t>
  </si>
  <si>
    <t>🟡  BUYpass</t>
  </si>
  <si>
    <t>🔄 In Progress</t>
  </si>
  <si>
    <t>BUYpassStreamApp</t>
  </si>
  <si>
    <t>buypass.auth_txn</t>
  </si>
  <si>
    <t>hdfs:///data/buypass/auth/</t>
  </si>
  <si>
    <t>cdp-kafka-node02.corp.fiserv.net</t>
  </si>
  <si>
    <t>BUYpassStreamDBX</t>
  </si>
  <si>
    <t>gbs_auth.buypass_auth_delta</t>
  </si>
  <si>
    <t>BUYpass_StructStream_Job</t>
  </si>
  <si>
    <t>🔄 Testing</t>
  </si>
  <si>
    <t>Mann Patel</t>
  </si>
  <si>
    <t>Sprint 4</t>
  </si>
  <si>
    <t>2026-03-01</t>
  </si>
  <si>
    <t>2026-04-15</t>
  </si>
  <si>
    <t>dbfs:/checkpoints/buypass_auth_txn</t>
  </si>
  <si>
    <t>Peer Benchmarking, FSBI</t>
  </si>
  <si>
    <t>Parser re-implementation in review.</t>
  </si>
  <si>
    <t>4</t>
  </si>
  <si>
    <t>🟢  Omaha</t>
  </si>
  <si>
    <t>OmahaStreamApp</t>
  </si>
  <si>
    <t>omaha.auth_txn</t>
  </si>
  <si>
    <t>hdfs:///data/omaha/auth/</t>
  </si>
  <si>
    <t>OmahaStreamDBX</t>
  </si>
  <si>
    <t>gbs_auth.omaha_auth_delta</t>
  </si>
  <si>
    <t>Omaha_StructStream_Job</t>
  </si>
  <si>
    <t>📋 Planned</t>
  </si>
  <si>
    <t>dbfs:/checkpoints/omaha_auth_txn</t>
  </si>
  <si>
    <t>AltMOPS, FSBI</t>
  </si>
  <si>
    <t>East consumer live. West pending MSK cluster.</t>
  </si>
  <si>
    <t>5</t>
  </si>
  <si>
    <t>🔵  IPG</t>
  </si>
  <si>
    <t>IPGStreamApp</t>
  </si>
  <si>
    <t>ipg.auth_txn</t>
  </si>
  <si>
    <t>hdfs:///data/ipg/auth_txn/</t>
  </si>
  <si>
    <t>cdp-kafka-node03.corp.fiserv.net</t>
  </si>
  <si>
    <t>IPGStreamDBX</t>
  </si>
  <si>
    <t>gbs_auth.ipg_auth_delta</t>
  </si>
  <si>
    <t>IPG_StructStream_Job</t>
  </si>
  <si>
    <t>Sprint 5</t>
  </si>
  <si>
    <t>2026-04-16</t>
  </si>
  <si>
    <t>2026-06-01</t>
  </si>
  <si>
    <t>dbfs:/checkpoints/ipg_auth_txn</t>
  </si>
  <si>
    <t>Awaiting IPG source schema sign-off.</t>
  </si>
  <si>
    <t>6</t>
  </si>
  <si>
    <t>🟣  FSL</t>
  </si>
  <si>
    <t>FSLTxnStreamApp</t>
  </si>
  <si>
    <t>fsl.transaction</t>
  </si>
  <si>
    <t>hdfs:///data/fsl/txn/</t>
  </si>
  <si>
    <t>FSLTxnStreamDBX</t>
  </si>
  <si>
    <t>gbs_auth.fsl_txn_delta</t>
  </si>
  <si>
    <t>FSLTxn_StructStream_Job</t>
  </si>
  <si>
    <t>dbfs:/checkpoints/fsl_txn</t>
  </si>
  <si>
    <t>Single AUTH</t>
  </si>
  <si>
    <t>Dependency on FSL schema team.</t>
  </si>
  <si>
    <t>🩷  FSL</t>
  </si>
  <si>
    <t>FSLRegStreamApp</t>
  </si>
  <si>
    <t>fsl.registration</t>
  </si>
  <si>
    <t>hdfs:///data/fsl/reg/</t>
  </si>
  <si>
    <t>FSLRegStreamDBX</t>
  </si>
  <si>
    <t>gbs_auth.fsl_reg_delta</t>
  </si>
  <si>
    <t>FSLReg_StructStream_Job</t>
  </si>
  <si>
    <t>Sprint 6</t>
  </si>
  <si>
    <t>2026-06-02</t>
  </si>
  <si>
    <t>2026-07-15</t>
  </si>
  <si>
    <t>dbfs:/checkpoints/fsl_reg</t>
  </si>
  <si>
    <t>Peer Benchmarking</t>
  </si>
  <si>
    <t>Lowest priority. Last in migration sequence.</t>
  </si>
  <si>
    <t>📊  TOTALS / SUMMARY</t>
  </si>
  <si>
    <t>⚙️   GBS AUTH  —  Server &amp; Endpoint Configuration   |   AS-IS vs TO-BE Infrastructure</t>
  </si>
  <si>
    <t>📌 PLATFORM</t>
  </si>
  <si>
    <t>📂 AS-IS INFRASTRUCTURE  (On-Premises)</t>
  </si>
  <si>
    <t>🚀 TO-BE INFRASTRUCTURE  (AWS Cloud)</t>
  </si>
  <si>
    <t>🔐 AUTHENTICATION</t>
  </si>
  <si>
    <t>Platform</t>
  </si>
  <si>
    <t>CDP Cluster</t>
  </si>
  <si>
    <t>Kafka Broker Host (As-Is)</t>
  </si>
  <si>
    <t>As-Is Port</t>
  </si>
  <si>
    <t>As-Is Security
Protocol</t>
  </si>
  <si>
    <t>MSK Cluster Name</t>
  </si>
  <si>
    <t>MSK Port</t>
  </si>
  <si>
    <t>MSK Replication
Factor</t>
  </si>
  <si>
    <t>As-Is Auth
Mechanism</t>
  </si>
  <si>
    <t>To-Be Auth
Mechanism</t>
  </si>
  <si>
    <t>AWS Secrets
Manager Key</t>
  </si>
  <si>
    <t>🔴 HDC.AUTH_TXN</t>
  </si>
  <si>
    <t>ETIMS Cloudera</t>
  </si>
  <si>
    <t>PLAINTEXT + SASL</t>
  </si>
  <si>
    <t>dcs-gbs-msk-cluster</t>
  </si>
  <si>
    <t>9096</t>
  </si>
  <si>
    <t>SASL_SSL + SCRAM-SHA-512</t>
  </si>
  <si>
    <t>dcs/msk/hdc-auth-creds</t>
  </si>
  <si>
    <t>🟠 DEBITGW_TXN</t>
  </si>
  <si>
    <t>dcs/msk/debitgw-creds</t>
  </si>
  <si>
    <t>🟡 BUYpass.AUTH_TXN</t>
  </si>
  <si>
    <t>dcs/msk/buypass-creds</t>
  </si>
  <si>
    <t>🟢 Omaha.AUTH_TXN</t>
  </si>
  <si>
    <t>dcs/msk/omaha-creds</t>
  </si>
  <si>
    <t>🔵 IPG.AUTH_TXN</t>
  </si>
  <si>
    <t>dcs/msk/ipg-creds</t>
  </si>
  <si>
    <t>🟣 FSL.TRANSACTION</t>
  </si>
  <si>
    <t>dcs/msk/fsl-txn-creds</t>
  </si>
  <si>
    <t>🩷 FSL.REGISTRATION</t>
  </si>
  <si>
    <t>dcs/msk/fsl-reg-creds</t>
  </si>
  <si>
    <t>📊   GBS AUTH  —  Topic &amp; Table Mapping   |   As-Is Kafka Topics &amp; HDFS Paths  →  To-Be MSK Topics &amp; Delta Tables</t>
  </si>
  <si>
    <t>📂 AS-IS  (Cloudera / HDFS)</t>
  </si>
  <si>
    <t>🚀 TO-BE  (MSK / Delta Lake)</t>
  </si>
  <si>
    <t>📋 GOVERNANCE</t>
  </si>
  <si>
    <t>As-Is Kafka Topic</t>
  </si>
  <si>
    <t>As-Is HDFS Path</t>
  </si>
  <si>
    <t>As-Is Partitioning</t>
  </si>
  <si>
    <t>As-Is Format</t>
  </si>
  <si>
    <t>To-Be MSK Topic</t>
  </si>
  <si>
    <t>To-Be Delta Table
(Unity Catalog)</t>
  </si>
  <si>
    <t>Delta Partitioning</t>
  </si>
  <si>
    <t>DBX Job Name</t>
  </si>
  <si>
    <t>Consumers</t>
  </si>
  <si>
    <t>Topic Status</t>
  </si>
  <si>
    <t>Notes</t>
  </si>
  <si>
    <t>year/month/day</t>
  </si>
  <si>
    <t>region/year/month/day</t>
  </si>
  <si>
    <t>FSBI, Single AUTH</t>
  </si>
  <si>
    <t>Schema review pending</t>
  </si>
  <si>
    <t>AltMOPS</t>
  </si>
  <si>
    <t>West cluster pending</t>
  </si>
  <si>
    <t>Awaiting schema sign-off</t>
  </si>
  <si>
    <t>Dependency: FSL team</t>
  </si>
  <si>
    <t>Lowest priority</t>
  </si>
  <si>
    <t>📈   GBS AUTH Migration  —  Executive Dashboard</t>
  </si>
  <si>
    <t>📦 Total Platforms</t>
  </si>
  <si>
    <t>✅ Completed</t>
  </si>
  <si>
    <t>🎯 Migration Progress</t>
  </si>
  <si>
    <t>Existing App</t>
  </si>
  <si>
    <t>New App</t>
  </si>
  <si>
    <t>MSK Topic</t>
  </si>
  <si>
    <t>Delta Table</t>
  </si>
  <si>
    <t>Owner</t>
  </si>
  <si>
    <t>Sprint</t>
  </si>
  <si>
    <t>Status</t>
  </si>
  <si>
    <t>East</t>
  </si>
  <si>
    <t>West</t>
  </si>
  <si>
    <t>🔄 Test</t>
  </si>
  <si>
    <t>📋 Plan</t>
  </si>
  <si>
    <t>📖   GBS AUTH Migration Tracker  —  Legend, Colour Guide &amp; Field Descriptions</t>
  </si>
  <si>
    <t>🎨  ROW STATUS COLOURS</t>
  </si>
  <si>
    <t>📋  FIELD DESCRIPTIONS</t>
  </si>
  <si>
    <t>Migration fully done. Consumers validated. Live in production.</t>
  </si>
  <si>
    <t>Existing App Name</t>
  </si>
  <si>
    <t>Active development or testing phase. East or West consumer may be live.</t>
  </si>
  <si>
    <t>Existing Kafka Topic</t>
  </si>
  <si>
    <t>Not yet started. Waiting for sprint allocation or dependency resolution.</t>
  </si>
  <si>
    <t>Existing Table/Path</t>
  </si>
  <si>
    <t>🚫 Blocked</t>
  </si>
  <si>
    <t>Migration halted due to a blocker. See Notes column for details.</t>
  </si>
  <si>
    <t>Existing Auth</t>
  </si>
  <si>
    <t>New App Name</t>
  </si>
  <si>
    <t>New Kafka Topic</t>
  </si>
  <si>
    <t>New Delta Table</t>
  </si>
  <si>
    <t>MSK East Endpoint</t>
  </si>
  <si>
    <t>MSK West Endpoint</t>
  </si>
  <si>
    <t>DBX Secret Scope</t>
  </si>
  <si>
    <t>DBFS Checkpoint</t>
  </si>
  <si>
    <t>East/West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</si>
</sst>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46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9"/>
      <color rgb="FF1E40AF"/>
      <name val="Calibri"/>
    </font>
    <font>
      <b/>
      <sz val="14"/>
      <color rgb="FF1E40AF"/>
      <name val="Calibri"/>
    </font>
    <font>
      <b/>
      <sz val="9"/>
      <color rgb="FF15803D"/>
      <name val="Calibri"/>
    </font>
    <font>
      <b/>
      <sz val="14"/>
      <color rgb="FF15803D"/>
      <name val="Calibri"/>
    </font>
    <font>
      <b/>
      <sz val="9"/>
      <color rgb="FFB45309"/>
      <name val="Calibri"/>
    </font>
    <font>
      <b/>
      <sz val="14"/>
      <color rgb="FFB45309"/>
      <name val="Calibri"/>
    </font>
    <font>
      <b/>
      <sz val="9"/>
      <color rgb="FFC2410C"/>
      <name val="Calibri"/>
    </font>
    <font>
      <b/>
      <sz val="14"/>
      <color rgb="FFC2410C"/>
      <name val="Calibri"/>
    </font>
    <font>
      <b/>
      <sz val="9"/>
      <color rgb="FF0F766E"/>
      <name val="Calibri"/>
    </font>
    <font>
      <b/>
      <sz val="14"/>
      <color rgb="FF0F766E"/>
      <name val="Calibri"/>
    </font>
    <font>
      <b/>
      <sz val="9"/>
      <color rgb="FF6D28D9"/>
      <name val="Calibri"/>
    </font>
    <font>
      <b/>
      <sz val="14"/>
      <color rgb="FF6D28D9"/>
      <name val="Calibri"/>
    </font>
    <font>
      <b/>
      <sz val="9"/>
      <color rgb="FF1E3A5F"/>
      <name val="Calibri"/>
    </font>
    <font>
      <b/>
      <sz val="14"/>
      <color rgb="FF1E3A5F"/>
      <name val="Calibri"/>
    </font>
    <font>
      <b/>
      <sz val="9"/>
      <color rgb="FF334155"/>
      <name val="Calibri"/>
    </font>
    <font>
      <b/>
      <sz val="14"/>
      <color rgb="FF334155"/>
      <name val="Calibri"/>
    </font>
    <font>
      <b/>
      <sz val="11"/>
      <color rgb="FFFFFFFF"/>
      <name val="Calibri"/>
    </font>
    <font>
      <b/>
      <sz val="9"/>
      <color rgb="FFFFFFFF"/>
      <name val="Calibri"/>
    </font>
    <font>
      <b/>
      <sz val="12"/>
      <color rgb="FF1E3A5F"/>
      <name val="Calibri"/>
    </font>
    <font>
      <b/>
      <sz val="11"/>
      <color rgb="FF1E3A5F"/>
      <name val="Calibri"/>
    </font>
    <font>
      <sz val="9"/>
      <color rgb="FF334155"/>
      <name val="Calibri"/>
    </font>
    <font>
      <sz val="9"/>
      <color rgb="FF7C2D12"/>
      <name val="Calibri"/>
    </font>
    <font>
      <i/>
      <sz val="9"/>
      <color rgb="FF92400E"/>
      <name val="Calibri"/>
    </font>
    <font>
      <b/>
      <sz val="9"/>
      <color rgb="FF065F46"/>
      <name val="Calibri"/>
    </font>
    <font>
      <i/>
      <sz val="8"/>
      <color rgb="FF1E3A8A"/>
      <name val="Calibri"/>
    </font>
    <font>
      <sz val="9"/>
      <color rgb="FF1E3A5F"/>
      <name val="Calibri"/>
    </font>
    <font>
      <i/>
      <sz val="9"/>
      <color rgb="FF334155"/>
      <name val="Calibri"/>
    </font>
    <font>
      <b/>
      <sz val="10"/>
      <color rgb="FFFFFFFF"/>
      <name val="Calibri"/>
    </font>
    <font>
      <b/>
      <sz val="10"/>
      <color rgb="FF15803D"/>
      <name val="Calibri"/>
    </font>
    <font>
      <b/>
      <sz val="14"/>
      <color rgb="FFFFFFFF"/>
      <name val="Calibri"/>
    </font>
    <font>
      <b/>
      <sz val="10"/>
      <color rgb="FF1E3A5F"/>
      <name val="Calibri"/>
    </font>
    <font>
      <b/>
      <sz val="10"/>
      <color rgb="FF6D28D9"/>
      <name val="Calibri"/>
    </font>
    <font>
      <b/>
      <sz val="18"/>
      <color rgb="FFFFFFFF"/>
      <name val="Calibri"/>
    </font>
    <font>
      <b/>
      <sz val="10"/>
      <color rgb="FF1E40AF"/>
      <name val="Calibri"/>
    </font>
    <font>
      <b/>
      <sz val="22"/>
      <color rgb="FF1E40AF"/>
      <name val="Calibri"/>
    </font>
    <font>
      <b/>
      <sz val="22"/>
      <color rgb="FF15803D"/>
      <name val="Calibri"/>
    </font>
    <font>
      <b/>
      <sz val="10"/>
      <color rgb="FFB45309"/>
      <name val="Calibri"/>
    </font>
    <font>
      <b/>
      <sz val="22"/>
      <color rgb="FFB45309"/>
      <name val="Calibri"/>
    </font>
    <font>
      <b/>
      <sz val="10"/>
      <color rgb="FFC2410C"/>
      <name val="Calibri"/>
    </font>
    <font>
      <b/>
      <sz val="22"/>
      <color rgb="FFC2410C"/>
      <name val="Calibri"/>
    </font>
    <font>
      <b/>
      <sz val="10"/>
      <color rgb="FF0F766E"/>
      <name val="Calibri"/>
    </font>
    <font>
      <b/>
      <sz val="22"/>
      <color rgb="FF0F766E"/>
      <name val="Calibri"/>
    </font>
    <font>
      <sz val="10"/>
      <color rgb="FF334155"/>
      <name val="Calibri"/>
    </font>
    <font>
      <b/>
      <sz val="10"/>
      <color rgb="FFB91C1C"/>
      <name val="Calibri"/>
    </font>
  </fonts>
  <fills count="28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FFEDD5"/>
      </patternFill>
    </fill>
    <fill>
      <patternFill patternType="solid">
        <fgColor rgb="FFCCFBF1"/>
      </patternFill>
    </fill>
    <fill>
      <patternFill patternType="solid">
        <fgColor rgb="FFEDE9FE"/>
      </patternFill>
    </fill>
    <fill>
      <patternFill patternType="solid">
        <fgColor rgb="FFF1F5F9"/>
      </patternFill>
    </fill>
    <fill>
      <patternFill patternType="solid">
        <fgColor rgb="FFF8FAFC"/>
      </patternFill>
    </fill>
    <fill>
      <patternFill patternType="solid">
        <fgColor rgb="FF7C2D12"/>
      </patternFill>
    </fill>
    <fill>
      <patternFill patternType="solid">
        <fgColor rgb="FF064E3B"/>
      </patternFill>
    </fill>
    <fill>
      <patternFill patternType="solid">
        <fgColor rgb="FF312E81"/>
      </patternFill>
    </fill>
    <fill>
      <patternFill patternType="solid">
        <fgColor rgb="FF991B1B"/>
      </patternFill>
    </fill>
    <fill>
      <patternFill patternType="solid">
        <fgColor rgb="FFB45309"/>
      </patternFill>
    </fill>
    <fill>
      <patternFill patternType="solid">
        <fgColor rgb="FF065F46"/>
      </patternFill>
    </fill>
    <fill>
      <patternFill patternType="solid">
        <fgColor rgb="FF1E3A8A"/>
      </patternFill>
    </fill>
    <fill>
      <patternFill patternType="solid">
        <fgColor rgb="FF4C1D95"/>
      </patternFill>
    </fill>
    <fill>
      <patternFill patternType="solid">
        <fgColor rgb="FFF0FDF4"/>
      </patternFill>
    </fill>
    <fill>
      <patternFill patternType="solid">
        <fgColor rgb="FFFEFCE8"/>
      </patternFill>
    </fill>
    <fill>
      <patternFill patternType="solid">
        <fgColor rgb="FFEFF6FF"/>
      </patternFill>
    </fill>
    <fill>
      <patternFill patternType="solid">
        <fgColor rgb="FF7C3AED"/>
      </patternFill>
    </fill>
    <fill>
      <patternFill patternType="solid">
        <fgColor rgb="FFFAF5FF"/>
      </patternFill>
    </fill>
    <fill>
      <patternFill patternType="solid">
        <fgColor rgb="FFF5F3FF"/>
      </patternFill>
    </fill>
    <fill>
      <patternFill patternType="solid">
        <fgColor rgb="FF1E40AF"/>
      </patternFill>
    </fill>
    <fill>
      <patternFill patternType="solid">
        <fgColor rgb="FF334155"/>
      </patternFill>
    </fill>
    <fill>
      <patternFill patternType="solid">
        <fgColor rgb="FFFEE2E2"/>
      </patternFill>
    </fill>
  </fills>
  <borders count="44">
    <border>
      <left/>
      <right/>
      <top/>
      <bottom/>
      <diagonal/>
    </border>
    <border>
      <left style="thin">
        <color rgb="FF1E40AF"/>
      </left>
      <right style="thin">
        <color rgb="FF1E40AF"/>
      </right>
      <top style="medium">
        <color rgb="FF1E40AF"/>
      </top>
      <bottom style="hair">
        <color rgb="FFCBD5E1"/>
      </bottom>
      <diagonal/>
    </border>
    <border>
      <left style="thin">
        <color rgb="FF1E40AF"/>
      </left>
      <right style="thin">
        <color rgb="FF1E40AF"/>
      </right>
      <top style="hair">
        <color rgb="FFCBD5E1"/>
      </top>
      <bottom style="medium">
        <color rgb="FF1E40AF"/>
      </bottom>
      <diagonal/>
    </border>
    <border>
      <left style="thin">
        <color rgb="FF15803D"/>
      </left>
      <right style="thin">
        <color rgb="FF15803D"/>
      </right>
      <top style="medium">
        <color rgb="FF15803D"/>
      </top>
      <bottom style="hair">
        <color rgb="FFCBD5E1"/>
      </bottom>
      <diagonal/>
    </border>
    <border>
      <left style="thin">
        <color rgb="FF15803D"/>
      </left>
      <right style="thin">
        <color rgb="FF15803D"/>
      </right>
      <top style="hair">
        <color rgb="FFCBD5E1"/>
      </top>
      <bottom style="medium">
        <color rgb="FF15803D"/>
      </bottom>
      <diagonal/>
    </border>
    <border>
      <left style="thin">
        <color rgb="FFB45309"/>
      </left>
      <right style="thin">
        <color rgb="FFB45309"/>
      </right>
      <top style="medium">
        <color rgb="FFB45309"/>
      </top>
      <bottom style="hair">
        <color rgb="FFCBD5E1"/>
      </bottom>
      <diagonal/>
    </border>
    <border>
      <left style="thin">
        <color rgb="FFB45309"/>
      </left>
      <right style="thin">
        <color rgb="FFB45309"/>
      </right>
      <top style="hair">
        <color rgb="FFCBD5E1"/>
      </top>
      <bottom style="medium">
        <color rgb="FFB45309"/>
      </bottom>
      <diagonal/>
    </border>
    <border>
      <left style="thin">
        <color rgb="FFC2410C"/>
      </left>
      <right style="thin">
        <color rgb="FFC2410C"/>
      </right>
      <top style="medium">
        <color rgb="FFC2410C"/>
      </top>
      <bottom style="hair">
        <color rgb="FFCBD5E1"/>
      </bottom>
      <diagonal/>
    </border>
    <border>
      <left style="thin">
        <color rgb="FFC2410C"/>
      </left>
      <right style="thin">
        <color rgb="FFC2410C"/>
      </right>
      <top style="hair">
        <color rgb="FFCBD5E1"/>
      </top>
      <bottom style="medium">
        <color rgb="FFC2410C"/>
      </bottom>
      <diagonal/>
    </border>
    <border>
      <left style="thin">
        <color rgb="FF0F766E"/>
      </left>
      <right style="thin">
        <color rgb="FF0F766E"/>
      </right>
      <top style="medium">
        <color rgb="FF0F766E"/>
      </top>
      <bottom style="hair">
        <color rgb="FFCBD5E1"/>
      </bottom>
      <diagonal/>
    </border>
    <border>
      <left style="thin">
        <color rgb="FF0F766E"/>
      </left>
      <right style="thin">
        <color rgb="FF0F766E"/>
      </right>
      <top style="hair">
        <color rgb="FFCBD5E1"/>
      </top>
      <bottom style="medium">
        <color rgb="FF0F766E"/>
      </bottom>
      <diagonal/>
    </border>
    <border>
      <left style="thin">
        <color rgb="FF6D28D9"/>
      </left>
      <right style="thin">
        <color rgb="FF6D28D9"/>
      </right>
      <top style="medium">
        <color rgb="FF6D28D9"/>
      </top>
      <bottom style="hair">
        <color rgb="FFCBD5E1"/>
      </bottom>
      <diagonal/>
    </border>
    <border>
      <left style="thin">
        <color rgb="FF6D28D9"/>
      </left>
      <right style="thin">
        <color rgb="FF6D28D9"/>
      </right>
      <top style="hair">
        <color rgb="FFCBD5E1"/>
      </top>
      <bottom style="medium">
        <color rgb="FF6D28D9"/>
      </bottom>
      <diagonal/>
    </border>
    <border>
      <left style="thin">
        <color rgb="FF1E3A5F"/>
      </left>
      <right style="thin">
        <color rgb="FF1E3A5F"/>
      </right>
      <top style="medium">
        <color rgb="FF1E3A5F"/>
      </top>
      <bottom style="hair">
        <color rgb="FFCBD5E1"/>
      </bottom>
      <diagonal/>
    </border>
    <border>
      <left style="thin">
        <color rgb="FF1E3A5F"/>
      </left>
      <right style="thin">
        <color rgb="FF1E3A5F"/>
      </right>
      <top style="hair">
        <color rgb="FFCBD5E1"/>
      </top>
      <bottom style="medium">
        <color rgb="FF1E3A5F"/>
      </bottom>
      <diagonal/>
    </border>
    <border>
      <left style="thin">
        <color rgb="FF334155"/>
      </left>
      <right style="thin">
        <color rgb="FF334155"/>
      </right>
      <top style="medium">
        <color rgb="FF334155"/>
      </top>
      <bottom style="hair">
        <color rgb="FFCBD5E1"/>
      </bottom>
      <diagonal/>
    </border>
    <border>
      <left style="thin">
        <color rgb="FF334155"/>
      </left>
      <right style="thin">
        <color rgb="FF334155"/>
      </right>
      <top style="hair">
        <color rgb="FFCBD5E1"/>
      </top>
      <bottom style="medium">
        <color rgb="FF334155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FFFFFF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ck">
        <color rgb="FF15803D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ck">
        <color rgb="FFB45309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ck">
        <color rgb="FF1E40AF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medium">
        <color rgb="FF1E3A5F"/>
      </top>
      <bottom/>
      <diagonal/>
    </border>
    <border>
      <left style="thick">
        <color rgb="FF065F46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FFFFFF"/>
      </left>
      <right style="thin">
        <color rgb="FFFFFFFF"/>
      </right>
      <top/>
      <bottom style="medium">
        <color rgb="FFFFFFFF"/>
      </bottom>
      <diagonal/>
    </border>
    <border>
      <left style="thick">
        <color rgb="FF7C3AED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1E40AF"/>
      </left>
      <right style="medium">
        <color rgb="FF1E40AF"/>
      </right>
      <top style="medium">
        <color rgb="FF1E40AF"/>
      </top>
      <bottom style="hair">
        <color rgb="FFCBD5E1"/>
      </bottom>
      <diagonal/>
    </border>
    <border>
      <left style="medium">
        <color rgb="FF1E40AF"/>
      </left>
      <right style="medium">
        <color rgb="FF1E40AF"/>
      </right>
      <top style="hair">
        <color rgb="FFCBD5E1"/>
      </top>
      <bottom style="medium">
        <color rgb="FF1E40AF"/>
      </bottom>
      <diagonal/>
    </border>
    <border>
      <left style="medium">
        <color rgb="FF15803D"/>
      </left>
      <right style="medium">
        <color rgb="FF15803D"/>
      </right>
      <top style="medium">
        <color rgb="FF15803D"/>
      </top>
      <bottom style="hair">
        <color rgb="FFCBD5E1"/>
      </bottom>
      <diagonal/>
    </border>
    <border>
      <left style="medium">
        <color rgb="FF15803D"/>
      </left>
      <right style="medium">
        <color rgb="FF15803D"/>
      </right>
      <top style="hair">
        <color rgb="FFCBD5E1"/>
      </top>
      <bottom style="medium">
        <color rgb="FF15803D"/>
      </bottom>
      <diagonal/>
    </border>
    <border>
      <left style="medium">
        <color rgb="FFB45309"/>
      </left>
      <right style="medium">
        <color rgb="FFB45309"/>
      </right>
      <top style="medium">
        <color rgb="FFB45309"/>
      </top>
      <bottom style="hair">
        <color rgb="FFCBD5E1"/>
      </bottom>
      <diagonal/>
    </border>
    <border>
      <left style="medium">
        <color rgb="FFB45309"/>
      </left>
      <right style="medium">
        <color rgb="FFB45309"/>
      </right>
      <top style="hair">
        <color rgb="FFCBD5E1"/>
      </top>
      <bottom style="medium">
        <color rgb="FFB45309"/>
      </bottom>
      <diagonal/>
    </border>
    <border>
      <left style="medium">
        <color rgb="FFC2410C"/>
      </left>
      <right style="medium">
        <color rgb="FFC2410C"/>
      </right>
      <top style="medium">
        <color rgb="FFC2410C"/>
      </top>
      <bottom style="hair">
        <color rgb="FFCBD5E1"/>
      </bottom>
      <diagonal/>
    </border>
    <border>
      <left style="medium">
        <color rgb="FFC2410C"/>
      </left>
      <right style="medium">
        <color rgb="FFC2410C"/>
      </right>
      <top style="hair">
        <color rgb="FFCBD5E1"/>
      </top>
      <bottom style="medium">
        <color rgb="FFC2410C"/>
      </bottom>
      <diagonal/>
    </border>
    <border>
      <left style="medium">
        <color rgb="FF0F766E"/>
      </left>
      <right style="medium">
        <color rgb="FF0F766E"/>
      </right>
      <top style="medium">
        <color rgb="FF0F766E"/>
      </top>
      <bottom style="hair">
        <color rgb="FFCBD5E1"/>
      </bottom>
      <diagonal/>
    </border>
    <border>
      <left style="medium">
        <color rgb="FF0F766E"/>
      </left>
      <right style="medium">
        <color rgb="FF0F766E"/>
      </right>
      <top style="hair">
        <color rgb="FFCBD5E1"/>
      </top>
      <bottom style="medium">
        <color rgb="FF0F766E"/>
      </bottom>
      <diagonal/>
    </border>
    <border>
      <left style="thick">
        <color rgb="FF1E3A5F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ck">
        <color rgb="FF15803D"/>
      </left>
      <right/>
      <top/>
      <bottom style="thin">
        <color rgb="FFCBD5E1"/>
      </bottom>
      <diagonal/>
    </border>
    <border>
      <left style="thick">
        <color rgb="FFB45309"/>
      </left>
      <right/>
      <top/>
      <bottom style="thin">
        <color rgb="FFCBD5E1"/>
      </bottom>
      <diagonal/>
    </border>
    <border>
      <left style="thick">
        <color rgb="FF1E40AF"/>
      </left>
      <right/>
      <top/>
      <bottom style="thin">
        <color rgb="FFCBD5E1"/>
      </bottom>
      <diagonal/>
    </border>
    <border>
      <left style="thick">
        <color rgb="FFB91C1C"/>
      </left>
      <right/>
      <top/>
      <bottom style="thin">
        <color rgb="FFCBD5E1"/>
      </bottom>
      <diagonal/>
    </border>
    <border>
      <left/>
      <right/>
      <top/>
      <bottom style="hair">
        <color rgb="FFCBD5E1"/>
      </bottom>
      <diagonal/>
    </border>
    <border>
      <left/>
      <right/>
      <top/>
      <bottom style="hair">
        <color rgb="FFCBD5E1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9" fillId="2" borderId="18" xfId="0" applyFont="1" applyFill="1" applyBorder="1" applyAlignment="1">
      <alignment horizontal="center" vertical="center" wrapText="1"/>
    </xf>
    <xf numFmtId="0" fontId="20" fillId="19" borderId="20" xfId="0" applyFont="1" applyFill="1" applyBorder="1" applyAlignment="1">
      <alignment horizontal="center" vertical="center" wrapText="1"/>
    </xf>
    <xf numFmtId="0" fontId="21" fillId="19" borderId="19" xfId="0" applyFont="1" applyFill="1" applyBorder="1" applyAlignment="1">
      <alignment horizontal="center" vertical="center" wrapText="1"/>
    </xf>
    <xf numFmtId="0" fontId="22" fillId="19" borderId="19" xfId="0" applyFont="1" applyFill="1" applyBorder="1" applyAlignment="1">
      <alignment horizontal="center" vertical="center" wrapText="1"/>
    </xf>
    <xf numFmtId="0" fontId="4" fillId="4" borderId="19" xfId="0" applyFont="1" applyFill="1" applyBorder="1" applyAlignment="1">
      <alignment horizontal="center" vertical="center" wrapText="1"/>
    </xf>
    <xf numFmtId="0" fontId="23" fillId="19" borderId="19" xfId="0" applyFont="1" applyFill="1" applyBorder="1" applyAlignment="1">
      <alignment horizontal="center" vertical="center" wrapText="1"/>
    </xf>
    <xf numFmtId="0" fontId="24" fillId="19" borderId="19" xfId="0" applyFont="1" applyFill="1" applyBorder="1" applyAlignment="1">
      <alignment horizontal="center" vertical="center" wrapText="1"/>
    </xf>
    <xf numFmtId="0" fontId="25" fillId="19" borderId="19" xfId="0" applyFont="1" applyFill="1" applyBorder="1" applyAlignment="1">
      <alignment horizontal="center" vertical="center" wrapText="1"/>
    </xf>
    <xf numFmtId="0" fontId="26" fillId="19" borderId="19" xfId="0" applyFont="1" applyFill="1" applyBorder="1" applyAlignment="1">
      <alignment horizontal="center" vertical="center" wrapText="1"/>
    </xf>
    <xf numFmtId="164" fontId="27" fillId="19" borderId="19" xfId="0" applyNumberFormat="1" applyFont="1" applyFill="1" applyBorder="1" applyAlignment="1">
      <alignment horizontal="center" vertical="center" wrapText="1"/>
    </xf>
    <xf numFmtId="0" fontId="28" fillId="19" borderId="19" xfId="0" applyFont="1" applyFill="1" applyBorder="1" applyAlignment="1">
      <alignment horizontal="left" vertical="center" wrapText="1"/>
    </xf>
    <xf numFmtId="0" fontId="20" fillId="20" borderId="21" xfId="0" applyFont="1" applyFill="1" applyBorder="1" applyAlignment="1">
      <alignment horizontal="center" vertical="center" wrapText="1"/>
    </xf>
    <xf numFmtId="0" fontId="21" fillId="20" borderId="19" xfId="0" applyFont="1" applyFill="1" applyBorder="1" applyAlignment="1">
      <alignment horizontal="center" vertical="center" wrapText="1"/>
    </xf>
    <xf numFmtId="0" fontId="22" fillId="20" borderId="19" xfId="0" applyFont="1" applyFill="1" applyBorder="1" applyAlignment="1">
      <alignment horizontal="center" vertical="center" wrapText="1"/>
    </xf>
    <xf numFmtId="0" fontId="6" fillId="5" borderId="19" xfId="0" applyFont="1" applyFill="1" applyBorder="1" applyAlignment="1">
      <alignment horizontal="center" vertical="center" wrapText="1"/>
    </xf>
    <xf numFmtId="0" fontId="23" fillId="20" borderId="19" xfId="0" applyFont="1" applyFill="1" applyBorder="1" applyAlignment="1">
      <alignment horizontal="center" vertical="center" wrapText="1"/>
    </xf>
    <xf numFmtId="0" fontId="24" fillId="20" borderId="19" xfId="0" applyFont="1" applyFill="1" applyBorder="1" applyAlignment="1">
      <alignment horizontal="center" vertical="center" wrapText="1"/>
    </xf>
    <xf numFmtId="0" fontId="25" fillId="20" borderId="19" xfId="0" applyFont="1" applyFill="1" applyBorder="1" applyAlignment="1">
      <alignment horizontal="center" vertical="center" wrapText="1"/>
    </xf>
    <xf numFmtId="0" fontId="26" fillId="20" borderId="19" xfId="0" applyFont="1" applyFill="1" applyBorder="1" applyAlignment="1">
      <alignment horizontal="center" vertical="center" wrapText="1"/>
    </xf>
    <xf numFmtId="164" fontId="27" fillId="20" borderId="19" xfId="0" applyNumberFormat="1" applyFont="1" applyFill="1" applyBorder="1" applyAlignment="1">
      <alignment horizontal="center" vertical="center" wrapText="1"/>
    </xf>
    <xf numFmtId="0" fontId="28" fillId="20" borderId="19" xfId="0" applyFont="1" applyFill="1" applyBorder="1" applyAlignment="1">
      <alignment horizontal="left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20" fillId="21" borderId="22" xfId="0" applyFont="1" applyFill="1" applyBorder="1" applyAlignment="1">
      <alignment horizontal="center" vertical="center" wrapText="1"/>
    </xf>
    <xf numFmtId="0" fontId="21" fillId="21" borderId="19" xfId="0" applyFont="1" applyFill="1" applyBorder="1" applyAlignment="1">
      <alignment horizontal="center" vertical="center" wrapText="1"/>
    </xf>
    <xf numFmtId="0" fontId="22" fillId="21" borderId="19" xfId="0" applyFont="1" applyFill="1" applyBorder="1" applyAlignment="1">
      <alignment horizontal="center" vertical="center" wrapText="1"/>
    </xf>
    <xf numFmtId="0" fontId="23" fillId="21" borderId="19" xfId="0" applyFont="1" applyFill="1" applyBorder="1" applyAlignment="1">
      <alignment horizontal="center" vertical="center" wrapText="1"/>
    </xf>
    <xf numFmtId="0" fontId="24" fillId="21" borderId="19" xfId="0" applyFont="1" applyFill="1" applyBorder="1" applyAlignment="1">
      <alignment horizontal="center" vertical="center" wrapText="1"/>
    </xf>
    <xf numFmtId="0" fontId="25" fillId="21" borderId="19" xfId="0" applyFont="1" applyFill="1" applyBorder="1" applyAlignment="1">
      <alignment horizontal="center" vertical="center" wrapText="1"/>
    </xf>
    <xf numFmtId="0" fontId="26" fillId="21" borderId="19" xfId="0" applyFont="1" applyFill="1" applyBorder="1" applyAlignment="1">
      <alignment horizontal="center" vertical="center" wrapText="1"/>
    </xf>
    <xf numFmtId="164" fontId="27" fillId="21" borderId="19" xfId="0" applyNumberFormat="1" applyFont="1" applyFill="1" applyBorder="1" applyAlignment="1">
      <alignment horizontal="center" vertical="center" wrapText="1"/>
    </xf>
    <xf numFmtId="0" fontId="28" fillId="21" borderId="19" xfId="0" applyFont="1" applyFill="1" applyBorder="1" applyAlignment="1">
      <alignment horizontal="left" vertical="center" wrapText="1"/>
    </xf>
    <xf numFmtId="0" fontId="0" fillId="9" borderId="23" xfId="0" applyFill="1" applyBorder="1"/>
    <xf numFmtId="0" fontId="32" fillId="19" borderId="24" xfId="0" applyFont="1" applyFill="1" applyBorder="1" applyAlignment="1">
      <alignment horizontal="center" vertical="center" wrapText="1"/>
    </xf>
    <xf numFmtId="0" fontId="32" fillId="21" borderId="24" xfId="0" applyFont="1" applyFill="1" applyBorder="1" applyAlignment="1">
      <alignment horizontal="center" vertical="center" wrapText="1"/>
    </xf>
    <xf numFmtId="0" fontId="19" fillId="22" borderId="25" xfId="0" applyFont="1" applyFill="1" applyBorder="1" applyAlignment="1">
      <alignment horizontal="center" vertical="center" wrapText="1"/>
    </xf>
    <xf numFmtId="0" fontId="33" fillId="23" borderId="26" xfId="0" applyFont="1" applyFill="1" applyBorder="1" applyAlignment="1">
      <alignment horizontal="center" vertical="center" wrapText="1"/>
    </xf>
    <xf numFmtId="0" fontId="22" fillId="23" borderId="19" xfId="0" applyFont="1" applyFill="1" applyBorder="1" applyAlignment="1">
      <alignment horizontal="center" vertical="center" wrapText="1"/>
    </xf>
    <xf numFmtId="0" fontId="23" fillId="23" borderId="19" xfId="0" applyFont="1" applyFill="1" applyBorder="1" applyAlignment="1">
      <alignment horizontal="center" vertical="center" wrapText="1"/>
    </xf>
    <xf numFmtId="0" fontId="25" fillId="23" borderId="19" xfId="0" applyFont="1" applyFill="1" applyBorder="1" applyAlignment="1">
      <alignment horizontal="center" vertical="center" wrapText="1"/>
    </xf>
    <xf numFmtId="0" fontId="33" fillId="24" borderId="26" xfId="0" applyFont="1" applyFill="1" applyBorder="1" applyAlignment="1">
      <alignment horizontal="center" vertical="center" wrapText="1"/>
    </xf>
    <xf numFmtId="0" fontId="22" fillId="24" borderId="19" xfId="0" applyFont="1" applyFill="1" applyBorder="1" applyAlignment="1">
      <alignment horizontal="center" vertical="center" wrapText="1"/>
    </xf>
    <xf numFmtId="0" fontId="23" fillId="24" borderId="19" xfId="0" applyFont="1" applyFill="1" applyBorder="1" applyAlignment="1">
      <alignment horizontal="center" vertical="center" wrapText="1"/>
    </xf>
    <xf numFmtId="0" fontId="25" fillId="24" borderId="19" xfId="0" applyFont="1" applyFill="1" applyBorder="1" applyAlignment="1">
      <alignment horizontal="center" vertical="center" wrapText="1"/>
    </xf>
    <xf numFmtId="0" fontId="29" fillId="2" borderId="25" xfId="0" applyFont="1" applyFill="1" applyBorder="1" applyAlignment="1">
      <alignment horizontal="center" vertical="center" wrapText="1"/>
    </xf>
    <xf numFmtId="0" fontId="21" fillId="4" borderId="37" xfId="0" applyFont="1" applyFill="1" applyBorder="1" applyAlignment="1">
      <alignment horizontal="center" vertical="center" wrapText="1"/>
    </xf>
    <xf numFmtId="0" fontId="22" fillId="4" borderId="19" xfId="0" applyFont="1" applyFill="1" applyBorder="1" applyAlignment="1">
      <alignment horizontal="center" vertical="center" wrapText="1"/>
    </xf>
    <xf numFmtId="0" fontId="25" fillId="4" borderId="19" xfId="0" applyFont="1" applyFill="1" applyBorder="1" applyAlignment="1">
      <alignment horizontal="center" vertical="center" wrapText="1"/>
    </xf>
    <xf numFmtId="0" fontId="21" fillId="5" borderId="37" xfId="0" applyFont="1" applyFill="1" applyBorder="1" applyAlignment="1">
      <alignment horizontal="center" vertical="center" wrapText="1"/>
    </xf>
    <xf numFmtId="0" fontId="22" fillId="5" borderId="19" xfId="0" applyFont="1" applyFill="1" applyBorder="1" applyAlignment="1">
      <alignment horizontal="center" vertical="center" wrapText="1"/>
    </xf>
    <xf numFmtId="0" fontId="25" fillId="5" borderId="19" xfId="0" applyFont="1" applyFill="1" applyBorder="1" applyAlignment="1">
      <alignment horizontal="center" vertical="center" wrapText="1"/>
    </xf>
    <xf numFmtId="0" fontId="21" fillId="3" borderId="37" xfId="0" applyFont="1" applyFill="1" applyBorder="1" applyAlignment="1">
      <alignment horizontal="center" vertical="center" wrapText="1"/>
    </xf>
    <xf numFmtId="0" fontId="22" fillId="3" borderId="19" xfId="0" applyFont="1" applyFill="1" applyBorder="1" applyAlignment="1">
      <alignment horizontal="center" vertical="center" wrapText="1"/>
    </xf>
    <xf numFmtId="0" fontId="25" fillId="3" borderId="19" xfId="0" applyFont="1" applyFill="1" applyBorder="1" applyAlignment="1">
      <alignment horizontal="center" vertical="center" wrapText="1"/>
    </xf>
    <xf numFmtId="0" fontId="30" fillId="4" borderId="38" xfId="0" applyFont="1" applyFill="1" applyBorder="1" applyAlignment="1">
      <alignment horizontal="left" vertical="center" indent="1"/>
    </xf>
    <xf numFmtId="0" fontId="44" fillId="4" borderId="0" xfId="0" applyFont="1" applyFill="1" applyAlignment="1">
      <alignment horizontal="left" vertical="center" wrapText="1" indent="1"/>
    </xf>
    <xf numFmtId="0" fontId="32" fillId="21" borderId="42" xfId="0" applyFont="1" applyFill="1" applyBorder="1" applyAlignment="1">
      <alignment horizontal="left" vertical="center" indent="1"/>
    </xf>
    <xf numFmtId="0" fontId="38" fillId="5" borderId="39" xfId="0" applyFont="1" applyFill="1" applyBorder="1" applyAlignment="1">
      <alignment horizontal="left" vertical="center" indent="1"/>
    </xf>
    <xf numFmtId="0" fontId="44" fillId="5" borderId="0" xfId="0" applyFont="1" applyFill="1" applyAlignment="1">
      <alignment horizontal="left" vertical="center" wrapText="1" indent="1"/>
    </xf>
    <xf numFmtId="0" fontId="32" fillId="10" borderId="42" xfId="0" applyFont="1" applyFill="1" applyBorder="1" applyAlignment="1">
      <alignment horizontal="left" vertical="center" indent="1"/>
    </xf>
    <xf numFmtId="0" fontId="35" fillId="3" borderId="40" xfId="0" applyFont="1" applyFill="1" applyBorder="1" applyAlignment="1">
      <alignment horizontal="left" vertical="center" indent="1"/>
    </xf>
    <xf numFmtId="0" fontId="44" fillId="3" borderId="0" xfId="0" applyFont="1" applyFill="1" applyAlignment="1">
      <alignment horizontal="left" vertical="center" wrapText="1" indent="1"/>
    </xf>
    <xf numFmtId="0" fontId="45" fillId="27" borderId="41" xfId="0" applyFont="1" applyFill="1" applyBorder="1" applyAlignment="1">
      <alignment horizontal="left" vertical="center" indent="1"/>
    </xf>
    <xf numFmtId="0" fontId="44" fillId="27" borderId="0" xfId="0" applyFont="1" applyFill="1" applyAlignment="1">
      <alignment horizontal="left" vertical="center" wrapText="1" indent="1"/>
    </xf>
    <xf numFmtId="0" fontId="18" fillId="2" borderId="17" xfId="0" applyFont="1" applyFill="1" applyBorder="1" applyAlignment="1">
      <alignment horizontal="center" vertical="center"/>
    </xf>
    <xf numFmtId="0" fontId="0" fillId="0" borderId="0" xfId="0"/>
    <xf numFmtId="0" fontId="16" fillId="10" borderId="15" xfId="0" applyFont="1" applyFill="1" applyBorder="1" applyAlignment="1">
      <alignment horizontal="center"/>
    </xf>
    <xf numFmtId="0" fontId="19" fillId="2" borderId="18" xfId="0" applyFont="1" applyFill="1" applyBorder="1" applyAlignment="1">
      <alignment horizontal="center" vertical="center" wrapText="1"/>
    </xf>
    <xf numFmtId="0" fontId="19" fillId="14" borderId="18" xfId="0" applyFont="1" applyFill="1" applyBorder="1" applyAlignment="1">
      <alignment horizontal="center" vertical="center" wrapText="1"/>
    </xf>
    <xf numFmtId="0" fontId="19" fillId="17" borderId="18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0" fontId="9" fillId="6" borderId="8" xfId="0" applyFont="1" applyFill="1" applyBorder="1" applyAlignment="1">
      <alignment horizontal="center" vertical="top"/>
    </xf>
    <xf numFmtId="0" fontId="19" fillId="15" borderId="18" xfId="0" applyFont="1" applyFill="1" applyBorder="1" applyAlignment="1">
      <alignment horizontal="center" vertical="center" wrapText="1"/>
    </xf>
    <xf numFmtId="0" fontId="19" fillId="18" borderId="18" xfId="0" applyFont="1" applyFill="1" applyBorder="1" applyAlignment="1">
      <alignment horizontal="center" vertical="center" wrapText="1"/>
    </xf>
    <xf numFmtId="0" fontId="18" fillId="11" borderId="17" xfId="0" applyFont="1" applyFill="1" applyBorder="1" applyAlignment="1">
      <alignment horizontal="center" vertical="center"/>
    </xf>
    <xf numFmtId="0" fontId="18" fillId="13" borderId="17" xfId="0" applyFont="1" applyFill="1" applyBorder="1" applyAlignment="1">
      <alignment horizontal="center" vertical="center"/>
    </xf>
    <xf numFmtId="0" fontId="19" fillId="16" borderId="18" xfId="0" applyFont="1" applyFill="1" applyBorder="1" applyAlignment="1">
      <alignment horizontal="center" vertical="center" wrapText="1"/>
    </xf>
    <xf numFmtId="0" fontId="29" fillId="2" borderId="0" xfId="0" applyFont="1" applyFill="1" applyAlignment="1">
      <alignment horizontal="center" vertical="center"/>
    </xf>
    <xf numFmtId="164" fontId="17" fillId="10" borderId="16" xfId="0" applyNumberFormat="1" applyFont="1" applyFill="1" applyBorder="1" applyAlignment="1">
      <alignment horizontal="center" vertical="top"/>
    </xf>
    <xf numFmtId="0" fontId="30" fillId="4" borderId="0" xfId="0" applyFont="1" applyFill="1" applyAlignment="1">
      <alignment horizontal="center" vertical="center"/>
    </xf>
    <xf numFmtId="0" fontId="5" fillId="4" borderId="4" xfId="0" applyFont="1" applyFill="1" applyBorder="1" applyAlignment="1">
      <alignment horizontal="center" vertical="top"/>
    </xf>
    <xf numFmtId="0" fontId="10" fillId="7" borderId="9" xfId="0" applyFont="1" applyFill="1" applyBorder="1" applyAlignment="1">
      <alignment horizontal="center"/>
    </xf>
    <xf numFmtId="0" fontId="19" fillId="15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4" fillId="4" borderId="3" xfId="0" applyFont="1" applyFill="1" applyBorder="1" applyAlignment="1">
      <alignment horizontal="center"/>
    </xf>
    <xf numFmtId="0" fontId="7" fillId="5" borderId="6" xfId="0" applyFont="1" applyFill="1" applyBorder="1" applyAlignment="1">
      <alignment horizontal="center" vertical="top"/>
    </xf>
    <xf numFmtId="0" fontId="3" fillId="3" borderId="2" xfId="0" applyFont="1" applyFill="1" applyBorder="1" applyAlignment="1">
      <alignment horizontal="center" vertical="top"/>
    </xf>
    <xf numFmtId="0" fontId="8" fillId="6" borderId="7" xfId="0" applyFont="1" applyFill="1" applyBorder="1" applyAlignment="1">
      <alignment horizontal="center"/>
    </xf>
    <xf numFmtId="0" fontId="12" fillId="8" borderId="11" xfId="0" applyFont="1" applyFill="1" applyBorder="1" applyAlignment="1">
      <alignment horizontal="center"/>
    </xf>
    <xf numFmtId="0" fontId="19" fillId="16" borderId="0" xfId="0" applyFont="1" applyFill="1" applyAlignment="1">
      <alignment horizontal="center" vertical="center"/>
    </xf>
    <xf numFmtId="0" fontId="11" fillId="7" borderId="10" xfId="0" applyFont="1" applyFill="1" applyBorder="1" applyAlignment="1">
      <alignment horizontal="center" vertical="top"/>
    </xf>
    <xf numFmtId="0" fontId="15" fillId="9" borderId="14" xfId="0" applyFont="1" applyFill="1" applyBorder="1" applyAlignment="1">
      <alignment horizontal="center" vertical="top"/>
    </xf>
    <xf numFmtId="0" fontId="19" fillId="17" borderId="0" xfId="0" applyFont="1" applyFill="1" applyAlignment="1">
      <alignment horizontal="center" vertical="center"/>
    </xf>
    <xf numFmtId="0" fontId="13" fillId="8" borderId="12" xfId="0" applyFont="1" applyFill="1" applyBorder="1" applyAlignment="1">
      <alignment horizontal="center" vertical="top"/>
    </xf>
    <xf numFmtId="0" fontId="1" fillId="2" borderId="0" xfId="0" applyFont="1" applyFill="1" applyAlignment="1">
      <alignment horizontal="left" vertical="center" indent="2"/>
    </xf>
    <xf numFmtId="0" fontId="18" fillId="12" borderId="17" xfId="0" applyFont="1" applyFill="1" applyBorder="1" applyAlignment="1">
      <alignment horizontal="center" vertical="center"/>
    </xf>
    <xf numFmtId="0" fontId="19" fillId="14" borderId="0" xfId="0" applyFont="1" applyFill="1" applyAlignment="1">
      <alignment horizontal="center" vertical="center"/>
    </xf>
    <xf numFmtId="0" fontId="19" fillId="18" borderId="0" xfId="0" applyFont="1" applyFill="1" applyAlignment="1">
      <alignment horizontal="center" vertical="center"/>
    </xf>
    <xf numFmtId="0" fontId="14" fillId="9" borderId="13" xfId="0" applyFont="1" applyFill="1" applyBorder="1" applyAlignment="1">
      <alignment horizontal="center"/>
    </xf>
    <xf numFmtId="0" fontId="29" fillId="16" borderId="0" xfId="0" applyFont="1" applyFill="1" applyAlignment="1">
      <alignment horizontal="center" vertical="center"/>
    </xf>
    <xf numFmtId="0" fontId="29" fillId="17" borderId="0" xfId="0" applyFont="1" applyFill="1" applyAlignment="1">
      <alignment horizontal="center" vertical="center"/>
    </xf>
    <xf numFmtId="0" fontId="29" fillId="11" borderId="0" xfId="0" applyFont="1" applyFill="1" applyAlignment="1">
      <alignment horizontal="center" vertical="center"/>
    </xf>
    <xf numFmtId="0" fontId="29" fillId="18" borderId="0" xfId="0" applyFont="1" applyFill="1" applyAlignment="1">
      <alignment horizontal="center" vertical="center"/>
    </xf>
    <xf numFmtId="0" fontId="31" fillId="16" borderId="0" xfId="0" applyFont="1" applyFill="1" applyAlignment="1">
      <alignment horizontal="left" vertical="center" indent="2"/>
    </xf>
    <xf numFmtId="0" fontId="29" fillId="22" borderId="0" xfId="0" applyFont="1" applyFill="1" applyAlignment="1">
      <alignment horizontal="center" vertical="center"/>
    </xf>
    <xf numFmtId="0" fontId="31" fillId="22" borderId="0" xfId="0" applyFont="1" applyFill="1" applyAlignment="1">
      <alignment horizontal="left" vertical="center" indent="2"/>
    </xf>
    <xf numFmtId="9" fontId="43" fillId="7" borderId="36" xfId="0" applyNumberFormat="1" applyFont="1" applyFill="1" applyBorder="1" applyAlignment="1">
      <alignment horizontal="center" vertical="top"/>
    </xf>
    <xf numFmtId="0" fontId="42" fillId="7" borderId="35" xfId="0" applyFont="1" applyFill="1" applyBorder="1" applyAlignment="1">
      <alignment horizontal="center"/>
    </xf>
    <xf numFmtId="0" fontId="34" fillId="25" borderId="0" xfId="0" applyFont="1" applyFill="1" applyAlignment="1">
      <alignment horizontal="left" vertical="center" indent="2"/>
    </xf>
    <xf numFmtId="0" fontId="37" fillId="4" borderId="30" xfId="0" applyFont="1" applyFill="1" applyBorder="1" applyAlignment="1">
      <alignment horizontal="center" vertical="top"/>
    </xf>
    <xf numFmtId="0" fontId="30" fillId="4" borderId="29" xfId="0" applyFont="1" applyFill="1" applyBorder="1" applyAlignment="1">
      <alignment horizontal="center"/>
    </xf>
    <xf numFmtId="0" fontId="35" fillId="3" borderId="27" xfId="0" applyFont="1" applyFill="1" applyBorder="1" applyAlignment="1">
      <alignment horizontal="center"/>
    </xf>
    <xf numFmtId="0" fontId="38" fillId="5" borderId="31" xfId="0" applyFont="1" applyFill="1" applyBorder="1" applyAlignment="1">
      <alignment horizontal="center"/>
    </xf>
    <xf numFmtId="0" fontId="39" fillId="5" borderId="32" xfId="0" applyFont="1" applyFill="1" applyBorder="1" applyAlignment="1">
      <alignment horizontal="center" vertical="top"/>
    </xf>
    <xf numFmtId="0" fontId="41" fillId="6" borderId="34" xfId="0" applyFont="1" applyFill="1" applyBorder="1" applyAlignment="1">
      <alignment horizontal="center" vertical="top"/>
    </xf>
    <xf numFmtId="0" fontId="36" fillId="3" borderId="28" xfId="0" applyFont="1" applyFill="1" applyBorder="1" applyAlignment="1">
      <alignment horizontal="center" vertical="top"/>
    </xf>
    <xf numFmtId="0" fontId="40" fillId="6" borderId="33" xfId="0" applyFont="1" applyFill="1" applyBorder="1" applyAlignment="1">
      <alignment horizontal="center"/>
    </xf>
    <xf numFmtId="0" fontId="18" fillId="2" borderId="0" xfId="0" applyFont="1" applyFill="1" applyAlignment="1">
      <alignment horizontal="left" vertical="center" indent="1"/>
    </xf>
    <xf numFmtId="0" fontId="0" fillId="0" borderId="43" xfId="0" applyBorder="1"/>
    <xf numFmtId="0" fontId="31" fillId="26" borderId="0" xfId="0" applyFont="1" applyFill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3A5F"/>
    <pageSetUpPr fitToPage="1"/>
  </sheetPr>
  <dimension ref="A1:AC26"/>
  <sheetViews>
    <sheetView tabSelected="1" workbookViewId="0">
      <pane xSplit="4" ySplit="8" topLeftCell="E9" activePane="bottomRight" state="frozen"/>
      <selection pane="topRight"/>
      <selection pane="bottomLeft"/>
      <selection pane="bottomRight" activeCell="A11" sqref="A11"/>
    </sheetView>
  </sheetViews>
  <sheetFormatPr defaultRowHeight="14.5" x14ac:dyDescent="0.35"/>
  <cols>
    <col min="1" max="1" width="4" customWidth="1"/>
    <col min="2" max="2" width="22" customWidth="1"/>
    <col min="3" max="3" width="20" customWidth="1"/>
    <col min="4" max="4" width="14" customWidth="1"/>
    <col min="5" max="6" width="26" customWidth="1"/>
    <col min="7" max="7" width="20" customWidth="1"/>
    <col min="8" max="9" width="16" customWidth="1"/>
    <col min="10" max="12" width="20" customWidth="1"/>
    <col min="13" max="14" width="26" customWidth="1"/>
    <col min="15" max="15" width="22" customWidth="1"/>
    <col min="16" max="17" width="16" customWidth="1"/>
    <col min="18" max="19" width="22" customWidth="1"/>
    <col min="20" max="22" width="18" customWidth="1"/>
    <col min="23" max="25" width="16" customWidth="1"/>
    <col min="26" max="27" width="20" customWidth="1"/>
    <col min="28" max="28" width="14" customWidth="1"/>
    <col min="29" max="29" width="22" customWidth="1"/>
  </cols>
  <sheetData>
    <row r="1" spans="1:29" ht="14" customHeight="1" x14ac:dyDescent="0.35"/>
    <row r="2" spans="1:29" ht="42" customHeight="1" x14ac:dyDescent="0.35">
      <c r="A2" s="95" t="s">
        <v>0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</row>
    <row r="3" spans="1:29" ht="26" customHeight="1" x14ac:dyDescent="0.35">
      <c r="A3" s="70" t="s">
        <v>1</v>
      </c>
      <c r="B3" s="65"/>
      <c r="C3" s="65"/>
      <c r="D3" s="85" t="s">
        <v>2</v>
      </c>
      <c r="E3" s="65"/>
      <c r="F3" s="65"/>
      <c r="G3" s="71" t="s">
        <v>3</v>
      </c>
      <c r="H3" s="65"/>
      <c r="I3" s="65"/>
      <c r="J3" s="88" t="s">
        <v>4</v>
      </c>
      <c r="K3" s="65"/>
      <c r="L3" s="65"/>
      <c r="M3" s="82" t="s">
        <v>5</v>
      </c>
      <c r="N3" s="65"/>
      <c r="O3" s="65"/>
      <c r="P3" s="89" t="s">
        <v>6</v>
      </c>
      <c r="Q3" s="65"/>
      <c r="R3" s="65"/>
      <c r="S3" s="99" t="s">
        <v>7</v>
      </c>
      <c r="T3" s="65"/>
      <c r="U3" s="65"/>
      <c r="V3" s="66" t="s">
        <v>8</v>
      </c>
      <c r="W3" s="65"/>
      <c r="X3" s="65"/>
      <c r="Y3" s="65"/>
      <c r="Z3" s="65"/>
      <c r="AA3" s="65"/>
      <c r="AB3" s="65"/>
      <c r="AC3" s="65"/>
    </row>
    <row r="4" spans="1:29" ht="22" customHeight="1" x14ac:dyDescent="0.35">
      <c r="A4" s="87" t="s">
        <v>9</v>
      </c>
      <c r="B4" s="65"/>
      <c r="C4" s="65"/>
      <c r="D4" s="81">
        <f>COUNTIF(D9:D15,"✅ Complete")</f>
        <v>2</v>
      </c>
      <c r="E4" s="65"/>
      <c r="F4" s="65"/>
      <c r="G4" s="86">
        <f>COUNTIF(D9:D15,"🔄 In Progress")</f>
        <v>2</v>
      </c>
      <c r="H4" s="65"/>
      <c r="I4" s="65"/>
      <c r="J4" s="72">
        <f>COUNTIF(D9:D15,"📋 Planned")</f>
        <v>3</v>
      </c>
      <c r="K4" s="65"/>
      <c r="L4" s="65"/>
      <c r="M4" s="91" t="s">
        <v>10</v>
      </c>
      <c r="N4" s="65"/>
      <c r="O4" s="65"/>
      <c r="P4" s="94" t="s">
        <v>11</v>
      </c>
      <c r="Q4" s="65"/>
      <c r="R4" s="65"/>
      <c r="S4" s="92" t="s">
        <v>12</v>
      </c>
      <c r="T4" s="65"/>
      <c r="U4" s="65"/>
      <c r="V4" s="79">
        <f ca="1">TODAY()</f>
        <v>46204</v>
      </c>
      <c r="W4" s="65"/>
      <c r="X4" s="65"/>
      <c r="Y4" s="65"/>
      <c r="Z4" s="65"/>
      <c r="AA4" s="65"/>
      <c r="AB4" s="65"/>
      <c r="AC4" s="65"/>
    </row>
    <row r="5" spans="1:29" ht="22" customHeight="1" x14ac:dyDescent="0.35">
      <c r="A5" s="64" t="s">
        <v>13</v>
      </c>
      <c r="B5" s="65"/>
      <c r="C5" s="65"/>
      <c r="D5" s="65"/>
      <c r="E5" s="75" t="s">
        <v>14</v>
      </c>
      <c r="F5" s="65"/>
      <c r="G5" s="65"/>
      <c r="H5" s="65"/>
      <c r="I5" s="65"/>
      <c r="J5" s="65"/>
      <c r="K5" s="65"/>
      <c r="L5" s="65"/>
      <c r="M5" s="96" t="s">
        <v>15</v>
      </c>
      <c r="N5" s="65"/>
      <c r="O5" s="65"/>
      <c r="P5" s="65"/>
      <c r="Q5" s="65"/>
      <c r="R5" s="65"/>
      <c r="S5" s="65"/>
      <c r="T5" s="65"/>
      <c r="U5" s="65"/>
      <c r="V5" s="76" t="s">
        <v>16</v>
      </c>
      <c r="W5" s="65"/>
      <c r="X5" s="65"/>
      <c r="Y5" s="65"/>
      <c r="Z5" s="65"/>
      <c r="AA5" s="65"/>
      <c r="AB5" s="65"/>
      <c r="AC5" s="65"/>
    </row>
    <row r="6" spans="1:29" ht="22" customHeight="1" x14ac:dyDescent="0.35">
      <c r="A6" s="84"/>
      <c r="B6" s="65"/>
      <c r="C6" s="65"/>
      <c r="D6" s="65"/>
      <c r="E6" s="97" t="s">
        <v>17</v>
      </c>
      <c r="F6" s="65"/>
      <c r="G6" s="65"/>
      <c r="H6" s="65"/>
      <c r="I6" s="83" t="s">
        <v>18</v>
      </c>
      <c r="J6" s="65"/>
      <c r="K6" s="65"/>
      <c r="L6" s="65"/>
      <c r="M6" s="90" t="s">
        <v>19</v>
      </c>
      <c r="N6" s="65"/>
      <c r="O6" s="65"/>
      <c r="P6" s="65"/>
      <c r="Q6" s="65"/>
      <c r="R6" s="93" t="s">
        <v>20</v>
      </c>
      <c r="S6" s="65"/>
      <c r="T6" s="65"/>
      <c r="U6" s="65"/>
      <c r="V6" s="98" t="s">
        <v>21</v>
      </c>
      <c r="W6" s="65"/>
      <c r="X6" s="65"/>
      <c r="Y6" s="65"/>
      <c r="Z6" s="84" t="s">
        <v>22</v>
      </c>
      <c r="AA6" s="65"/>
      <c r="AB6" s="65"/>
      <c r="AC6" s="65"/>
    </row>
    <row r="7" spans="1:29" ht="32" customHeight="1" x14ac:dyDescent="0.35">
      <c r="A7" s="67" t="s">
        <v>23</v>
      </c>
      <c r="B7" s="67" t="s">
        <v>24</v>
      </c>
      <c r="C7" s="67" t="s">
        <v>25</v>
      </c>
      <c r="D7" s="67" t="s">
        <v>26</v>
      </c>
      <c r="E7" s="68" t="s">
        <v>27</v>
      </c>
      <c r="F7" s="68" t="s">
        <v>28</v>
      </c>
      <c r="G7" s="68" t="s">
        <v>29</v>
      </c>
      <c r="H7" s="68" t="s">
        <v>30</v>
      </c>
      <c r="I7" s="73" t="s">
        <v>31</v>
      </c>
      <c r="J7" s="73" t="s">
        <v>32</v>
      </c>
      <c r="K7" s="73" t="s">
        <v>33</v>
      </c>
      <c r="L7" s="73" t="s">
        <v>34</v>
      </c>
      <c r="M7" s="77" t="s">
        <v>35</v>
      </c>
      <c r="N7" s="77" t="s">
        <v>36</v>
      </c>
      <c r="O7" s="77" t="s">
        <v>37</v>
      </c>
      <c r="P7" s="77" t="s">
        <v>38</v>
      </c>
      <c r="Q7" s="77" t="s">
        <v>39</v>
      </c>
      <c r="R7" s="69" t="s">
        <v>40</v>
      </c>
      <c r="S7" s="69" t="s">
        <v>41</v>
      </c>
      <c r="T7" s="69" t="s">
        <v>42</v>
      </c>
      <c r="U7" s="69" t="s">
        <v>43</v>
      </c>
      <c r="V7" s="74" t="s">
        <v>44</v>
      </c>
      <c r="W7" s="74" t="s">
        <v>45</v>
      </c>
      <c r="X7" s="74" t="s">
        <v>46</v>
      </c>
      <c r="Y7" s="74" t="s">
        <v>47</v>
      </c>
      <c r="Z7" s="67" t="s">
        <v>48</v>
      </c>
      <c r="AA7" s="67" t="s">
        <v>49</v>
      </c>
      <c r="AB7" s="67" t="s">
        <v>50</v>
      </c>
      <c r="AC7" s="67" t="s">
        <v>51</v>
      </c>
    </row>
    <row r="8" spans="1:29" ht="10" customHeight="1" x14ac:dyDescent="0.35">
      <c r="A8" s="65"/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</row>
    <row r="9" spans="1:29" ht="50" customHeight="1" x14ac:dyDescent="0.35">
      <c r="A9" s="2" t="s">
        <v>52</v>
      </c>
      <c r="B9" s="3" t="s">
        <v>53</v>
      </c>
      <c r="C9" s="4" t="s">
        <v>54</v>
      </c>
      <c r="D9" s="5" t="s">
        <v>55</v>
      </c>
      <c r="E9" s="6" t="s">
        <v>56</v>
      </c>
      <c r="F9" s="6" t="s">
        <v>57</v>
      </c>
      <c r="G9" s="6" t="s">
        <v>58</v>
      </c>
      <c r="H9" s="6" t="s">
        <v>59</v>
      </c>
      <c r="I9" s="7" t="s">
        <v>60</v>
      </c>
      <c r="J9" s="7" t="s">
        <v>61</v>
      </c>
      <c r="K9" s="7" t="s">
        <v>62</v>
      </c>
      <c r="L9" s="7" t="s">
        <v>63</v>
      </c>
      <c r="M9" s="8" t="s">
        <v>64</v>
      </c>
      <c r="N9" s="8" t="s">
        <v>57</v>
      </c>
      <c r="O9" s="8" t="s">
        <v>65</v>
      </c>
      <c r="P9" s="8" t="s">
        <v>66</v>
      </c>
      <c r="Q9" s="8" t="s">
        <v>67</v>
      </c>
      <c r="R9" s="9" t="s">
        <v>68</v>
      </c>
      <c r="S9" s="9" t="s">
        <v>69</v>
      </c>
      <c r="T9" s="5" t="s">
        <v>70</v>
      </c>
      <c r="U9" s="5" t="s">
        <v>70</v>
      </c>
      <c r="V9" s="4" t="s">
        <v>71</v>
      </c>
      <c r="W9" s="4" t="s">
        <v>72</v>
      </c>
      <c r="X9" s="10" t="s">
        <v>73</v>
      </c>
      <c r="Y9" s="10" t="s">
        <v>74</v>
      </c>
      <c r="Z9" s="4" t="s">
        <v>75</v>
      </c>
      <c r="AA9" s="4" t="s">
        <v>76</v>
      </c>
      <c r="AB9" s="4" t="s">
        <v>77</v>
      </c>
      <c r="AC9" s="11" t="s">
        <v>78</v>
      </c>
    </row>
    <row r="10" spans="1:29" ht="50" customHeight="1" x14ac:dyDescent="0.35">
      <c r="A10" s="2" t="s">
        <v>79</v>
      </c>
      <c r="B10" s="3" t="s">
        <v>80</v>
      </c>
      <c r="C10" s="4" t="s">
        <v>54</v>
      </c>
      <c r="D10" s="5" t="s">
        <v>55</v>
      </c>
      <c r="E10" s="6" t="s">
        <v>81</v>
      </c>
      <c r="F10" s="6" t="s">
        <v>82</v>
      </c>
      <c r="G10" s="6" t="s">
        <v>83</v>
      </c>
      <c r="H10" s="6" t="s">
        <v>59</v>
      </c>
      <c r="I10" s="7" t="s">
        <v>60</v>
      </c>
      <c r="J10" s="7" t="s">
        <v>61</v>
      </c>
      <c r="K10" s="7" t="s">
        <v>62</v>
      </c>
      <c r="L10" s="7" t="s">
        <v>63</v>
      </c>
      <c r="M10" s="8" t="s">
        <v>84</v>
      </c>
      <c r="N10" s="8" t="s">
        <v>82</v>
      </c>
      <c r="O10" s="8" t="s">
        <v>85</v>
      </c>
      <c r="P10" s="8" t="s">
        <v>66</v>
      </c>
      <c r="Q10" s="8" t="s">
        <v>86</v>
      </c>
      <c r="R10" s="9" t="s">
        <v>68</v>
      </c>
      <c r="S10" s="9" t="s">
        <v>69</v>
      </c>
      <c r="T10" s="5" t="s">
        <v>70</v>
      </c>
      <c r="U10" s="5" t="s">
        <v>70</v>
      </c>
      <c r="V10" s="4" t="s">
        <v>87</v>
      </c>
      <c r="W10" s="4" t="s">
        <v>72</v>
      </c>
      <c r="X10" s="10" t="s">
        <v>73</v>
      </c>
      <c r="Y10" s="10" t="s">
        <v>74</v>
      </c>
      <c r="Z10" s="4" t="s">
        <v>88</v>
      </c>
      <c r="AA10" s="4" t="s">
        <v>76</v>
      </c>
      <c r="AB10" s="4" t="s">
        <v>89</v>
      </c>
      <c r="AC10" s="11" t="s">
        <v>90</v>
      </c>
    </row>
    <row r="11" spans="1:29" ht="50" customHeight="1" x14ac:dyDescent="0.35">
      <c r="A11" s="12" t="s">
        <v>91</v>
      </c>
      <c r="B11" s="13" t="s">
        <v>92</v>
      </c>
      <c r="C11" s="14" t="s">
        <v>54</v>
      </c>
      <c r="D11" s="15" t="s">
        <v>93</v>
      </c>
      <c r="E11" s="16" t="s">
        <v>94</v>
      </c>
      <c r="F11" s="16" t="s">
        <v>95</v>
      </c>
      <c r="G11" s="16" t="s">
        <v>96</v>
      </c>
      <c r="H11" s="16" t="s">
        <v>59</v>
      </c>
      <c r="I11" s="17" t="s">
        <v>60</v>
      </c>
      <c r="J11" s="17" t="s">
        <v>97</v>
      </c>
      <c r="K11" s="17" t="s">
        <v>62</v>
      </c>
      <c r="L11" s="17" t="s">
        <v>63</v>
      </c>
      <c r="M11" s="18" t="s">
        <v>98</v>
      </c>
      <c r="N11" s="18" t="s">
        <v>95</v>
      </c>
      <c r="O11" s="18" t="s">
        <v>99</v>
      </c>
      <c r="P11" s="18" t="s">
        <v>66</v>
      </c>
      <c r="Q11" s="18" t="s">
        <v>100</v>
      </c>
      <c r="R11" s="19" t="s">
        <v>68</v>
      </c>
      <c r="S11" s="19" t="s">
        <v>69</v>
      </c>
      <c r="T11" s="15" t="s">
        <v>101</v>
      </c>
      <c r="U11" s="15" t="s">
        <v>101</v>
      </c>
      <c r="V11" s="14" t="s">
        <v>102</v>
      </c>
      <c r="W11" s="14" t="s">
        <v>103</v>
      </c>
      <c r="X11" s="20" t="s">
        <v>104</v>
      </c>
      <c r="Y11" s="20" t="s">
        <v>105</v>
      </c>
      <c r="Z11" s="14" t="s">
        <v>106</v>
      </c>
      <c r="AA11" s="14" t="s">
        <v>76</v>
      </c>
      <c r="AB11" s="14" t="s">
        <v>107</v>
      </c>
      <c r="AC11" s="21" t="s">
        <v>108</v>
      </c>
    </row>
    <row r="12" spans="1:29" ht="50" customHeight="1" x14ac:dyDescent="0.35">
      <c r="A12" s="12" t="s">
        <v>109</v>
      </c>
      <c r="B12" s="13" t="s">
        <v>110</v>
      </c>
      <c r="C12" s="14" t="s">
        <v>54</v>
      </c>
      <c r="D12" s="15" t="s">
        <v>93</v>
      </c>
      <c r="E12" s="16" t="s">
        <v>111</v>
      </c>
      <c r="F12" s="16" t="s">
        <v>112</v>
      </c>
      <c r="G12" s="16" t="s">
        <v>113</v>
      </c>
      <c r="H12" s="16" t="s">
        <v>59</v>
      </c>
      <c r="I12" s="17" t="s">
        <v>60</v>
      </c>
      <c r="J12" s="17" t="s">
        <v>97</v>
      </c>
      <c r="K12" s="17" t="s">
        <v>62</v>
      </c>
      <c r="L12" s="17" t="s">
        <v>63</v>
      </c>
      <c r="M12" s="18" t="s">
        <v>114</v>
      </c>
      <c r="N12" s="18" t="s">
        <v>112</v>
      </c>
      <c r="O12" s="18" t="s">
        <v>115</v>
      </c>
      <c r="P12" s="18" t="s">
        <v>66</v>
      </c>
      <c r="Q12" s="18" t="s">
        <v>116</v>
      </c>
      <c r="R12" s="19" t="s">
        <v>68</v>
      </c>
      <c r="S12" s="19" t="s">
        <v>69</v>
      </c>
      <c r="T12" s="15" t="s">
        <v>101</v>
      </c>
      <c r="U12" s="22" t="s">
        <v>117</v>
      </c>
      <c r="V12" s="14" t="s">
        <v>71</v>
      </c>
      <c r="W12" s="14" t="s">
        <v>103</v>
      </c>
      <c r="X12" s="20" t="s">
        <v>104</v>
      </c>
      <c r="Y12" s="20" t="s">
        <v>105</v>
      </c>
      <c r="Z12" s="14" t="s">
        <v>118</v>
      </c>
      <c r="AA12" s="14" t="s">
        <v>76</v>
      </c>
      <c r="AB12" s="14" t="s">
        <v>119</v>
      </c>
      <c r="AC12" s="21" t="s">
        <v>120</v>
      </c>
    </row>
    <row r="13" spans="1:29" ht="50" customHeight="1" x14ac:dyDescent="0.35">
      <c r="A13" s="23" t="s">
        <v>121</v>
      </c>
      <c r="B13" s="24" t="s">
        <v>122</v>
      </c>
      <c r="C13" s="25" t="s">
        <v>54</v>
      </c>
      <c r="D13" s="22" t="s">
        <v>117</v>
      </c>
      <c r="E13" s="26" t="s">
        <v>123</v>
      </c>
      <c r="F13" s="26" t="s">
        <v>124</v>
      </c>
      <c r="G13" s="26" t="s">
        <v>125</v>
      </c>
      <c r="H13" s="26" t="s">
        <v>59</v>
      </c>
      <c r="I13" s="27" t="s">
        <v>60</v>
      </c>
      <c r="J13" s="27" t="s">
        <v>126</v>
      </c>
      <c r="K13" s="27" t="s">
        <v>62</v>
      </c>
      <c r="L13" s="27" t="s">
        <v>63</v>
      </c>
      <c r="M13" s="28" t="s">
        <v>127</v>
      </c>
      <c r="N13" s="28" t="s">
        <v>124</v>
      </c>
      <c r="O13" s="28" t="s">
        <v>128</v>
      </c>
      <c r="P13" s="28" t="s">
        <v>66</v>
      </c>
      <c r="Q13" s="28" t="s">
        <v>129</v>
      </c>
      <c r="R13" s="29" t="s">
        <v>68</v>
      </c>
      <c r="S13" s="29" t="s">
        <v>69</v>
      </c>
      <c r="T13" s="22" t="s">
        <v>117</v>
      </c>
      <c r="U13" s="22" t="s">
        <v>117</v>
      </c>
      <c r="V13" s="25" t="s">
        <v>87</v>
      </c>
      <c r="W13" s="25" t="s">
        <v>130</v>
      </c>
      <c r="X13" s="30" t="s">
        <v>131</v>
      </c>
      <c r="Y13" s="30" t="s">
        <v>132</v>
      </c>
      <c r="Z13" s="25" t="s">
        <v>133</v>
      </c>
      <c r="AA13" s="25" t="s">
        <v>76</v>
      </c>
      <c r="AB13" s="25" t="s">
        <v>89</v>
      </c>
      <c r="AC13" s="31" t="s">
        <v>134</v>
      </c>
    </row>
    <row r="14" spans="1:29" ht="50" customHeight="1" x14ac:dyDescent="0.35">
      <c r="A14" s="23" t="s">
        <v>135</v>
      </c>
      <c r="B14" s="24" t="s">
        <v>136</v>
      </c>
      <c r="C14" s="25" t="s">
        <v>54</v>
      </c>
      <c r="D14" s="22" t="s">
        <v>117</v>
      </c>
      <c r="E14" s="26" t="s">
        <v>137</v>
      </c>
      <c r="F14" s="26" t="s">
        <v>138</v>
      </c>
      <c r="G14" s="26" t="s">
        <v>139</v>
      </c>
      <c r="H14" s="26" t="s">
        <v>59</v>
      </c>
      <c r="I14" s="27" t="s">
        <v>60</v>
      </c>
      <c r="J14" s="27" t="s">
        <v>126</v>
      </c>
      <c r="K14" s="27" t="s">
        <v>62</v>
      </c>
      <c r="L14" s="27" t="s">
        <v>63</v>
      </c>
      <c r="M14" s="28" t="s">
        <v>140</v>
      </c>
      <c r="N14" s="28" t="s">
        <v>138</v>
      </c>
      <c r="O14" s="28" t="s">
        <v>141</v>
      </c>
      <c r="P14" s="28" t="s">
        <v>66</v>
      </c>
      <c r="Q14" s="28" t="s">
        <v>142</v>
      </c>
      <c r="R14" s="29" t="s">
        <v>68</v>
      </c>
      <c r="S14" s="29" t="s">
        <v>69</v>
      </c>
      <c r="T14" s="22" t="s">
        <v>117</v>
      </c>
      <c r="U14" s="22" t="s">
        <v>117</v>
      </c>
      <c r="V14" s="25" t="s">
        <v>102</v>
      </c>
      <c r="W14" s="25" t="s">
        <v>130</v>
      </c>
      <c r="X14" s="30" t="s">
        <v>131</v>
      </c>
      <c r="Y14" s="30" t="s">
        <v>132</v>
      </c>
      <c r="Z14" s="25" t="s">
        <v>143</v>
      </c>
      <c r="AA14" s="25" t="s">
        <v>76</v>
      </c>
      <c r="AB14" s="25" t="s">
        <v>144</v>
      </c>
      <c r="AC14" s="31" t="s">
        <v>145</v>
      </c>
    </row>
    <row r="15" spans="1:29" ht="50" customHeight="1" x14ac:dyDescent="0.35">
      <c r="A15" s="23" t="s">
        <v>9</v>
      </c>
      <c r="B15" s="24" t="s">
        <v>146</v>
      </c>
      <c r="C15" s="25" t="s">
        <v>54</v>
      </c>
      <c r="D15" s="22" t="s">
        <v>117</v>
      </c>
      <c r="E15" s="26" t="s">
        <v>147</v>
      </c>
      <c r="F15" s="26" t="s">
        <v>148</v>
      </c>
      <c r="G15" s="26" t="s">
        <v>149</v>
      </c>
      <c r="H15" s="26" t="s">
        <v>59</v>
      </c>
      <c r="I15" s="27" t="s">
        <v>60</v>
      </c>
      <c r="J15" s="27" t="s">
        <v>126</v>
      </c>
      <c r="K15" s="27" t="s">
        <v>62</v>
      </c>
      <c r="L15" s="27" t="s">
        <v>63</v>
      </c>
      <c r="M15" s="28" t="s">
        <v>150</v>
      </c>
      <c r="N15" s="28" t="s">
        <v>148</v>
      </c>
      <c r="O15" s="28" t="s">
        <v>151</v>
      </c>
      <c r="P15" s="28" t="s">
        <v>66</v>
      </c>
      <c r="Q15" s="28" t="s">
        <v>152</v>
      </c>
      <c r="R15" s="29" t="s">
        <v>68</v>
      </c>
      <c r="S15" s="29" t="s">
        <v>69</v>
      </c>
      <c r="T15" s="22" t="s">
        <v>117</v>
      </c>
      <c r="U15" s="22" t="s">
        <v>117</v>
      </c>
      <c r="V15" s="25" t="s">
        <v>102</v>
      </c>
      <c r="W15" s="25" t="s">
        <v>153</v>
      </c>
      <c r="X15" s="30" t="s">
        <v>154</v>
      </c>
      <c r="Y15" s="30" t="s">
        <v>155</v>
      </c>
      <c r="Z15" s="25" t="s">
        <v>156</v>
      </c>
      <c r="AA15" s="25" t="s">
        <v>76</v>
      </c>
      <c r="AB15" s="25" t="s">
        <v>157</v>
      </c>
      <c r="AC15" s="31" t="s">
        <v>158</v>
      </c>
    </row>
    <row r="16" spans="1:29" ht="46" customHeight="1" x14ac:dyDescent="0.35"/>
    <row r="17" spans="1:29" ht="46" customHeight="1" x14ac:dyDescent="0.35"/>
    <row r="18" spans="1:29" ht="46" customHeight="1" x14ac:dyDescent="0.35"/>
    <row r="19" spans="1:29" ht="46" customHeight="1" x14ac:dyDescent="0.35"/>
    <row r="20" spans="1:29" ht="46" customHeight="1" x14ac:dyDescent="0.35"/>
    <row r="21" spans="1:29" ht="46" customHeight="1" x14ac:dyDescent="0.35"/>
    <row r="22" spans="1:29" ht="46" customHeight="1" x14ac:dyDescent="0.35"/>
    <row r="23" spans="1:29" ht="46" customHeight="1" x14ac:dyDescent="0.35"/>
    <row r="24" spans="1:29" ht="46" customHeight="1" x14ac:dyDescent="0.35"/>
    <row r="25" spans="1:29" ht="46" customHeight="1" x14ac:dyDescent="0.35"/>
    <row r="26" spans="1:29" ht="28" customHeight="1" x14ac:dyDescent="0.35">
      <c r="A26" s="78" t="s">
        <v>159</v>
      </c>
      <c r="B26" s="65"/>
      <c r="C26" s="65"/>
      <c r="D26" s="80" t="str">
        <f>COUNTIF(D9:D15,"✅ Complete")&amp;" / 7 Done"</f>
        <v>2 / 7 Done</v>
      </c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</row>
  </sheetData>
  <autoFilter ref="A8:AC15" xr:uid="{00000000-0009-0000-0000-000000000000}"/>
  <mergeCells count="59">
    <mergeCell ref="P4:R4"/>
    <mergeCell ref="A2:AC2"/>
    <mergeCell ref="Q7:Q8"/>
    <mergeCell ref="M5:U5"/>
    <mergeCell ref="E6:H6"/>
    <mergeCell ref="V6:Y6"/>
    <mergeCell ref="B7:B8"/>
    <mergeCell ref="S3:U3"/>
    <mergeCell ref="F7:F8"/>
    <mergeCell ref="L7:L8"/>
    <mergeCell ref="N7:N8"/>
    <mergeCell ref="M3:O3"/>
    <mergeCell ref="D7:D8"/>
    <mergeCell ref="I6:L6"/>
    <mergeCell ref="Z6:AC6"/>
    <mergeCell ref="D3:F3"/>
    <mergeCell ref="G4:I4"/>
    <mergeCell ref="H7:H8"/>
    <mergeCell ref="Y7:Y8"/>
    <mergeCell ref="J7:J8"/>
    <mergeCell ref="P7:P8"/>
    <mergeCell ref="J3:L3"/>
    <mergeCell ref="P3:R3"/>
    <mergeCell ref="AA7:AA8"/>
    <mergeCell ref="AB7:AB8"/>
    <mergeCell ref="A6:D6"/>
    <mergeCell ref="M6:Q6"/>
    <mergeCell ref="A26:C26"/>
    <mergeCell ref="W7:W8"/>
    <mergeCell ref="V4:AC4"/>
    <mergeCell ref="D26"/>
    <mergeCell ref="D4:F4"/>
    <mergeCell ref="A4:C4"/>
    <mergeCell ref="M4:O4"/>
    <mergeCell ref="S4:U4"/>
    <mergeCell ref="C7:C8"/>
    <mergeCell ref="T7:T8"/>
    <mergeCell ref="E7:E8"/>
    <mergeCell ref="K7:K8"/>
    <mergeCell ref="V7:V8"/>
    <mergeCell ref="AC7:AC8"/>
    <mergeCell ref="R6:U6"/>
    <mergeCell ref="O7:O8"/>
    <mergeCell ref="A5:D5"/>
    <mergeCell ref="V3:AC3"/>
    <mergeCell ref="A7:A8"/>
    <mergeCell ref="G7:G8"/>
    <mergeCell ref="R7:R8"/>
    <mergeCell ref="A3:C3"/>
    <mergeCell ref="G3:I3"/>
    <mergeCell ref="J4:L4"/>
    <mergeCell ref="I7:I8"/>
    <mergeCell ref="X7:X8"/>
    <mergeCell ref="E5:L5"/>
    <mergeCell ref="V5:AC5"/>
    <mergeCell ref="M7:M8"/>
    <mergeCell ref="S7:S8"/>
    <mergeCell ref="Z7:Z8"/>
    <mergeCell ref="U7:U8"/>
  </mergeCell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65F46"/>
    <pageSetUpPr fitToPage="1"/>
  </sheetPr>
  <dimension ref="A1:N10"/>
  <sheetViews>
    <sheetView workbookViewId="0">
      <pane xSplit="2" ySplit="3" topLeftCell="C5" activePane="bottomRight" state="frozen"/>
      <selection pane="topRight"/>
      <selection pane="bottomLeft"/>
      <selection pane="bottomRight" activeCell="C13" sqref="C13"/>
    </sheetView>
  </sheetViews>
  <sheetFormatPr defaultRowHeight="14.5" x14ac:dyDescent="0.35"/>
  <cols>
    <col min="1" max="1" width="20" customWidth="1"/>
    <col min="2" max="2" width="14" customWidth="1"/>
    <col min="3" max="3" width="24" customWidth="1"/>
    <col min="4" max="4" width="36" customWidth="1"/>
    <col min="5" max="5" width="12" customWidth="1"/>
    <col min="6" max="6" width="18" customWidth="1"/>
    <col min="7" max="7" width="24" customWidth="1"/>
    <col min="8" max="9" width="44" customWidth="1"/>
    <col min="10" max="10" width="10" customWidth="1"/>
    <col min="11" max="11" width="12" customWidth="1"/>
    <col min="12" max="12" width="20" customWidth="1"/>
    <col min="13" max="13" width="22" customWidth="1"/>
    <col min="14" max="14" width="32" customWidth="1"/>
  </cols>
  <sheetData>
    <row r="1" spans="1:14" ht="38" customHeight="1" x14ac:dyDescent="0.35">
      <c r="A1" s="104" t="s">
        <v>160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2" spans="1:14" ht="24" customHeight="1" x14ac:dyDescent="0.35">
      <c r="A2" s="100" t="s">
        <v>161</v>
      </c>
      <c r="B2" s="65"/>
      <c r="C2" s="102" t="s">
        <v>162</v>
      </c>
      <c r="D2" s="65"/>
      <c r="E2" s="65"/>
      <c r="F2" s="65"/>
      <c r="G2" s="101" t="s">
        <v>163</v>
      </c>
      <c r="H2" s="65"/>
      <c r="I2" s="65"/>
      <c r="J2" s="65"/>
      <c r="K2" s="65"/>
      <c r="L2" s="103" t="s">
        <v>164</v>
      </c>
      <c r="M2" s="65"/>
      <c r="N2" s="65"/>
    </row>
    <row r="3" spans="1:14" ht="36" customHeight="1" x14ac:dyDescent="0.35">
      <c r="A3" s="1" t="s">
        <v>165</v>
      </c>
      <c r="B3" s="1" t="s">
        <v>25</v>
      </c>
      <c r="C3" s="1" t="s">
        <v>166</v>
      </c>
      <c r="D3" s="1" t="s">
        <v>167</v>
      </c>
      <c r="E3" s="1" t="s">
        <v>168</v>
      </c>
      <c r="F3" s="1" t="s">
        <v>169</v>
      </c>
      <c r="G3" s="1" t="s">
        <v>170</v>
      </c>
      <c r="H3" s="1" t="s">
        <v>40</v>
      </c>
      <c r="I3" s="1" t="s">
        <v>41</v>
      </c>
      <c r="J3" s="1" t="s">
        <v>171</v>
      </c>
      <c r="K3" s="1" t="s">
        <v>172</v>
      </c>
      <c r="L3" s="1" t="s">
        <v>173</v>
      </c>
      <c r="M3" s="1" t="s">
        <v>174</v>
      </c>
      <c r="N3" s="1" t="s">
        <v>175</v>
      </c>
    </row>
    <row r="4" spans="1:14" ht="44" customHeight="1" x14ac:dyDescent="0.35">
      <c r="A4" s="33" t="s">
        <v>176</v>
      </c>
      <c r="B4" s="4" t="s">
        <v>54</v>
      </c>
      <c r="C4" s="4" t="s">
        <v>177</v>
      </c>
      <c r="D4" s="4" t="s">
        <v>61</v>
      </c>
      <c r="E4" s="4" t="s">
        <v>62</v>
      </c>
      <c r="F4" s="4" t="s">
        <v>178</v>
      </c>
      <c r="G4" s="4" t="s">
        <v>179</v>
      </c>
      <c r="H4" s="9" t="s">
        <v>68</v>
      </c>
      <c r="I4" s="9" t="s">
        <v>69</v>
      </c>
      <c r="J4" s="4" t="s">
        <v>180</v>
      </c>
      <c r="K4" s="4" t="s">
        <v>91</v>
      </c>
      <c r="L4" s="6" t="s">
        <v>59</v>
      </c>
      <c r="M4" s="8" t="s">
        <v>181</v>
      </c>
      <c r="N4" s="4" t="s">
        <v>182</v>
      </c>
    </row>
    <row r="5" spans="1:14" ht="44" customHeight="1" x14ac:dyDescent="0.35">
      <c r="A5" s="34" t="s">
        <v>183</v>
      </c>
      <c r="B5" s="25" t="s">
        <v>54</v>
      </c>
      <c r="C5" s="25" t="s">
        <v>177</v>
      </c>
      <c r="D5" s="25" t="s">
        <v>61</v>
      </c>
      <c r="E5" s="25" t="s">
        <v>62</v>
      </c>
      <c r="F5" s="25" t="s">
        <v>178</v>
      </c>
      <c r="G5" s="25" t="s">
        <v>179</v>
      </c>
      <c r="H5" s="29" t="s">
        <v>68</v>
      </c>
      <c r="I5" s="29" t="s">
        <v>69</v>
      </c>
      <c r="J5" s="25" t="s">
        <v>180</v>
      </c>
      <c r="K5" s="25" t="s">
        <v>91</v>
      </c>
      <c r="L5" s="26" t="s">
        <v>59</v>
      </c>
      <c r="M5" s="28" t="s">
        <v>181</v>
      </c>
      <c r="N5" s="25" t="s">
        <v>184</v>
      </c>
    </row>
    <row r="6" spans="1:14" ht="44" customHeight="1" x14ac:dyDescent="0.35">
      <c r="A6" s="33" t="s">
        <v>185</v>
      </c>
      <c r="B6" s="4" t="s">
        <v>54</v>
      </c>
      <c r="C6" s="4" t="s">
        <v>177</v>
      </c>
      <c r="D6" s="4" t="s">
        <v>97</v>
      </c>
      <c r="E6" s="4" t="s">
        <v>62</v>
      </c>
      <c r="F6" s="4" t="s">
        <v>178</v>
      </c>
      <c r="G6" s="4" t="s">
        <v>179</v>
      </c>
      <c r="H6" s="9" t="s">
        <v>68</v>
      </c>
      <c r="I6" s="9" t="s">
        <v>69</v>
      </c>
      <c r="J6" s="4" t="s">
        <v>180</v>
      </c>
      <c r="K6" s="4" t="s">
        <v>91</v>
      </c>
      <c r="L6" s="6" t="s">
        <v>59</v>
      </c>
      <c r="M6" s="8" t="s">
        <v>181</v>
      </c>
      <c r="N6" s="4" t="s">
        <v>186</v>
      </c>
    </row>
    <row r="7" spans="1:14" ht="44" customHeight="1" x14ac:dyDescent="0.35">
      <c r="A7" s="34" t="s">
        <v>187</v>
      </c>
      <c r="B7" s="25" t="s">
        <v>54</v>
      </c>
      <c r="C7" s="25" t="s">
        <v>177</v>
      </c>
      <c r="D7" s="25" t="s">
        <v>97</v>
      </c>
      <c r="E7" s="25" t="s">
        <v>62</v>
      </c>
      <c r="F7" s="25" t="s">
        <v>178</v>
      </c>
      <c r="G7" s="25" t="s">
        <v>179</v>
      </c>
      <c r="H7" s="29" t="s">
        <v>68</v>
      </c>
      <c r="I7" s="29" t="s">
        <v>69</v>
      </c>
      <c r="J7" s="25" t="s">
        <v>180</v>
      </c>
      <c r="K7" s="25" t="s">
        <v>91</v>
      </c>
      <c r="L7" s="26" t="s">
        <v>59</v>
      </c>
      <c r="M7" s="28" t="s">
        <v>181</v>
      </c>
      <c r="N7" s="25" t="s">
        <v>188</v>
      </c>
    </row>
    <row r="8" spans="1:14" ht="44" customHeight="1" x14ac:dyDescent="0.35">
      <c r="A8" s="33" t="s">
        <v>189</v>
      </c>
      <c r="B8" s="4" t="s">
        <v>54</v>
      </c>
      <c r="C8" s="4" t="s">
        <v>177</v>
      </c>
      <c r="D8" s="4" t="s">
        <v>126</v>
      </c>
      <c r="E8" s="4" t="s">
        <v>62</v>
      </c>
      <c r="F8" s="4" t="s">
        <v>178</v>
      </c>
      <c r="G8" s="4" t="s">
        <v>179</v>
      </c>
      <c r="H8" s="9" t="s">
        <v>68</v>
      </c>
      <c r="I8" s="9" t="s">
        <v>69</v>
      </c>
      <c r="J8" s="4" t="s">
        <v>180</v>
      </c>
      <c r="K8" s="4" t="s">
        <v>91</v>
      </c>
      <c r="L8" s="6" t="s">
        <v>59</v>
      </c>
      <c r="M8" s="8" t="s">
        <v>181</v>
      </c>
      <c r="N8" s="4" t="s">
        <v>190</v>
      </c>
    </row>
    <row r="9" spans="1:14" ht="44" customHeight="1" x14ac:dyDescent="0.35">
      <c r="A9" s="34" t="s">
        <v>191</v>
      </c>
      <c r="B9" s="25" t="s">
        <v>54</v>
      </c>
      <c r="C9" s="25" t="s">
        <v>177</v>
      </c>
      <c r="D9" s="25" t="s">
        <v>126</v>
      </c>
      <c r="E9" s="25" t="s">
        <v>62</v>
      </c>
      <c r="F9" s="25" t="s">
        <v>178</v>
      </c>
      <c r="G9" s="25" t="s">
        <v>179</v>
      </c>
      <c r="H9" s="29" t="s">
        <v>68</v>
      </c>
      <c r="I9" s="29" t="s">
        <v>69</v>
      </c>
      <c r="J9" s="25" t="s">
        <v>180</v>
      </c>
      <c r="K9" s="25" t="s">
        <v>91</v>
      </c>
      <c r="L9" s="26" t="s">
        <v>59</v>
      </c>
      <c r="M9" s="28" t="s">
        <v>181</v>
      </c>
      <c r="N9" s="25" t="s">
        <v>192</v>
      </c>
    </row>
    <row r="10" spans="1:14" ht="44" customHeight="1" x14ac:dyDescent="0.35">
      <c r="A10" s="33" t="s">
        <v>193</v>
      </c>
      <c r="B10" s="4" t="s">
        <v>54</v>
      </c>
      <c r="C10" s="4" t="s">
        <v>177</v>
      </c>
      <c r="D10" s="4" t="s">
        <v>126</v>
      </c>
      <c r="E10" s="4" t="s">
        <v>62</v>
      </c>
      <c r="F10" s="4" t="s">
        <v>178</v>
      </c>
      <c r="G10" s="4" t="s">
        <v>179</v>
      </c>
      <c r="H10" s="9" t="s">
        <v>68</v>
      </c>
      <c r="I10" s="9" t="s">
        <v>69</v>
      </c>
      <c r="J10" s="4" t="s">
        <v>180</v>
      </c>
      <c r="K10" s="4" t="s">
        <v>91</v>
      </c>
      <c r="L10" s="6" t="s">
        <v>59</v>
      </c>
      <c r="M10" s="8" t="s">
        <v>181</v>
      </c>
      <c r="N10" s="4" t="s">
        <v>194</v>
      </c>
    </row>
  </sheetData>
  <mergeCells count="5">
    <mergeCell ref="A2:B2"/>
    <mergeCell ref="G2:K2"/>
    <mergeCell ref="C2:F2"/>
    <mergeCell ref="L2:N2"/>
    <mergeCell ref="A1:N1"/>
  </mergeCells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C3AED"/>
    <pageSetUpPr fitToPage="1"/>
  </sheetPr>
  <dimension ref="A1:M10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2" customWidth="1"/>
    <col min="2" max="2" width="14" customWidth="1"/>
    <col min="3" max="3" width="26" customWidth="1"/>
    <col min="4" max="4" width="38" customWidth="1"/>
    <col min="5" max="5" width="22" customWidth="1"/>
    <col min="6" max="6" width="14" customWidth="1"/>
    <col min="7" max="7" width="26" customWidth="1"/>
    <col min="8" max="8" width="32" customWidth="1"/>
    <col min="9" max="9" width="24" customWidth="1"/>
    <col min="10" max="10" width="26" customWidth="1"/>
    <col min="11" max="11" width="28" customWidth="1"/>
    <col min="12" max="12" width="18" customWidth="1"/>
    <col min="13" max="13" width="28" customWidth="1"/>
  </cols>
  <sheetData>
    <row r="1" spans="1:13" ht="38" customHeight="1" x14ac:dyDescent="0.35">
      <c r="A1" s="106" t="s">
        <v>195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</row>
    <row r="2" spans="1:13" ht="24" customHeight="1" x14ac:dyDescent="0.35">
      <c r="A2" s="105" t="s">
        <v>161</v>
      </c>
      <c r="B2" s="65"/>
      <c r="C2" s="102" t="s">
        <v>196</v>
      </c>
      <c r="D2" s="65"/>
      <c r="E2" s="65"/>
      <c r="F2" s="65"/>
      <c r="G2" s="100" t="s">
        <v>197</v>
      </c>
      <c r="H2" s="65"/>
      <c r="I2" s="65"/>
      <c r="J2" s="65"/>
      <c r="K2" s="101" t="s">
        <v>198</v>
      </c>
      <c r="L2" s="65"/>
      <c r="M2" s="65"/>
    </row>
    <row r="3" spans="1:13" ht="36" customHeight="1" x14ac:dyDescent="0.35">
      <c r="A3" s="35" t="s">
        <v>165</v>
      </c>
      <c r="B3" s="35" t="s">
        <v>25</v>
      </c>
      <c r="C3" s="35" t="s">
        <v>199</v>
      </c>
      <c r="D3" s="35" t="s">
        <v>200</v>
      </c>
      <c r="E3" s="35" t="s">
        <v>201</v>
      </c>
      <c r="F3" s="35" t="s">
        <v>202</v>
      </c>
      <c r="G3" s="35" t="s">
        <v>203</v>
      </c>
      <c r="H3" s="35" t="s">
        <v>204</v>
      </c>
      <c r="I3" s="35" t="s">
        <v>205</v>
      </c>
      <c r="J3" s="35" t="s">
        <v>206</v>
      </c>
      <c r="K3" s="35" t="s">
        <v>207</v>
      </c>
      <c r="L3" s="35" t="s">
        <v>208</v>
      </c>
      <c r="M3" s="35" t="s">
        <v>209</v>
      </c>
    </row>
    <row r="4" spans="1:13" ht="46" customHeight="1" x14ac:dyDescent="0.35">
      <c r="A4" s="36" t="s">
        <v>176</v>
      </c>
      <c r="B4" s="37" t="s">
        <v>54</v>
      </c>
      <c r="C4" s="38" t="s">
        <v>57</v>
      </c>
      <c r="D4" s="38" t="s">
        <v>58</v>
      </c>
      <c r="E4" s="38" t="s">
        <v>210</v>
      </c>
      <c r="F4" s="38" t="s">
        <v>63</v>
      </c>
      <c r="G4" s="39" t="s">
        <v>57</v>
      </c>
      <c r="H4" s="39" t="s">
        <v>65</v>
      </c>
      <c r="I4" s="39" t="s">
        <v>211</v>
      </c>
      <c r="J4" s="39" t="s">
        <v>67</v>
      </c>
      <c r="K4" s="37" t="s">
        <v>212</v>
      </c>
      <c r="L4" s="5" t="s">
        <v>55</v>
      </c>
      <c r="M4" s="37"/>
    </row>
    <row r="5" spans="1:13" ht="46" customHeight="1" x14ac:dyDescent="0.35">
      <c r="A5" s="40" t="s">
        <v>183</v>
      </c>
      <c r="B5" s="41" t="s">
        <v>54</v>
      </c>
      <c r="C5" s="42" t="s">
        <v>82</v>
      </c>
      <c r="D5" s="42" t="s">
        <v>83</v>
      </c>
      <c r="E5" s="42" t="s">
        <v>210</v>
      </c>
      <c r="F5" s="42" t="s">
        <v>63</v>
      </c>
      <c r="G5" s="43" t="s">
        <v>82</v>
      </c>
      <c r="H5" s="43" t="s">
        <v>85</v>
      </c>
      <c r="I5" s="43" t="s">
        <v>211</v>
      </c>
      <c r="J5" s="43" t="s">
        <v>86</v>
      </c>
      <c r="K5" s="41" t="s">
        <v>89</v>
      </c>
      <c r="L5" s="5" t="s">
        <v>55</v>
      </c>
      <c r="M5" s="41"/>
    </row>
    <row r="6" spans="1:13" ht="46" customHeight="1" x14ac:dyDescent="0.35">
      <c r="A6" s="36" t="s">
        <v>185</v>
      </c>
      <c r="B6" s="37" t="s">
        <v>54</v>
      </c>
      <c r="C6" s="38" t="s">
        <v>95</v>
      </c>
      <c r="D6" s="38" t="s">
        <v>96</v>
      </c>
      <c r="E6" s="38" t="s">
        <v>210</v>
      </c>
      <c r="F6" s="38" t="s">
        <v>63</v>
      </c>
      <c r="G6" s="39" t="s">
        <v>95</v>
      </c>
      <c r="H6" s="39" t="s">
        <v>99</v>
      </c>
      <c r="I6" s="39" t="s">
        <v>211</v>
      </c>
      <c r="J6" s="39" t="s">
        <v>100</v>
      </c>
      <c r="K6" s="37" t="s">
        <v>157</v>
      </c>
      <c r="L6" s="15" t="s">
        <v>93</v>
      </c>
      <c r="M6" s="37" t="s">
        <v>213</v>
      </c>
    </row>
    <row r="7" spans="1:13" ht="46" customHeight="1" x14ac:dyDescent="0.35">
      <c r="A7" s="40" t="s">
        <v>187</v>
      </c>
      <c r="B7" s="41" t="s">
        <v>54</v>
      </c>
      <c r="C7" s="42" t="s">
        <v>112</v>
      </c>
      <c r="D7" s="42" t="s">
        <v>113</v>
      </c>
      <c r="E7" s="42" t="s">
        <v>210</v>
      </c>
      <c r="F7" s="42" t="s">
        <v>63</v>
      </c>
      <c r="G7" s="43" t="s">
        <v>112</v>
      </c>
      <c r="H7" s="43" t="s">
        <v>115</v>
      </c>
      <c r="I7" s="43" t="s">
        <v>211</v>
      </c>
      <c r="J7" s="43" t="s">
        <v>116</v>
      </c>
      <c r="K7" s="41" t="s">
        <v>214</v>
      </c>
      <c r="L7" s="15" t="s">
        <v>93</v>
      </c>
      <c r="M7" s="41" t="s">
        <v>215</v>
      </c>
    </row>
    <row r="8" spans="1:13" ht="46" customHeight="1" x14ac:dyDescent="0.35">
      <c r="A8" s="36" t="s">
        <v>189</v>
      </c>
      <c r="B8" s="37" t="s">
        <v>54</v>
      </c>
      <c r="C8" s="38" t="s">
        <v>124</v>
      </c>
      <c r="D8" s="38" t="s">
        <v>125</v>
      </c>
      <c r="E8" s="38" t="s">
        <v>210</v>
      </c>
      <c r="F8" s="38" t="s">
        <v>63</v>
      </c>
      <c r="G8" s="39" t="s">
        <v>124</v>
      </c>
      <c r="H8" s="39" t="s">
        <v>128</v>
      </c>
      <c r="I8" s="39" t="s">
        <v>211</v>
      </c>
      <c r="J8" s="39" t="s">
        <v>129</v>
      </c>
      <c r="K8" s="37" t="s">
        <v>89</v>
      </c>
      <c r="L8" s="22" t="s">
        <v>117</v>
      </c>
      <c r="M8" s="37" t="s">
        <v>216</v>
      </c>
    </row>
    <row r="9" spans="1:13" ht="46" customHeight="1" x14ac:dyDescent="0.35">
      <c r="A9" s="40" t="s">
        <v>191</v>
      </c>
      <c r="B9" s="41" t="s">
        <v>54</v>
      </c>
      <c r="C9" s="42" t="s">
        <v>138</v>
      </c>
      <c r="D9" s="42" t="s">
        <v>139</v>
      </c>
      <c r="E9" s="42" t="s">
        <v>210</v>
      </c>
      <c r="F9" s="42" t="s">
        <v>63</v>
      </c>
      <c r="G9" s="43" t="s">
        <v>138</v>
      </c>
      <c r="H9" s="43" t="s">
        <v>141</v>
      </c>
      <c r="I9" s="43" t="s">
        <v>211</v>
      </c>
      <c r="J9" s="43" t="s">
        <v>142</v>
      </c>
      <c r="K9" s="41" t="s">
        <v>144</v>
      </c>
      <c r="L9" s="22" t="s">
        <v>117</v>
      </c>
      <c r="M9" s="41" t="s">
        <v>217</v>
      </c>
    </row>
    <row r="10" spans="1:13" ht="46" customHeight="1" x14ac:dyDescent="0.35">
      <c r="A10" s="36" t="s">
        <v>193</v>
      </c>
      <c r="B10" s="37" t="s">
        <v>54</v>
      </c>
      <c r="C10" s="38" t="s">
        <v>148</v>
      </c>
      <c r="D10" s="38" t="s">
        <v>149</v>
      </c>
      <c r="E10" s="38" t="s">
        <v>210</v>
      </c>
      <c r="F10" s="38" t="s">
        <v>63</v>
      </c>
      <c r="G10" s="39" t="s">
        <v>148</v>
      </c>
      <c r="H10" s="39" t="s">
        <v>151</v>
      </c>
      <c r="I10" s="39" t="s">
        <v>211</v>
      </c>
      <c r="J10" s="39" t="s">
        <v>152</v>
      </c>
      <c r="K10" s="37" t="s">
        <v>157</v>
      </c>
      <c r="L10" s="22" t="s">
        <v>117</v>
      </c>
      <c r="M10" s="37" t="s">
        <v>218</v>
      </c>
    </row>
  </sheetData>
  <mergeCells count="5">
    <mergeCell ref="K2:M2"/>
    <mergeCell ref="A2:B2"/>
    <mergeCell ref="A1:M1"/>
    <mergeCell ref="G2:J2"/>
    <mergeCell ref="C2:F2"/>
  </mergeCells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E40AF"/>
    <pageSetUpPr fitToPage="1"/>
  </sheetPr>
  <dimension ref="A1:P14"/>
  <sheetViews>
    <sheetView workbookViewId="0">
      <pane ySplit="7" topLeftCell="A8" activePane="bottomLeft" state="frozen"/>
      <selection pane="bottomLeft" sqref="A1:P1"/>
    </sheetView>
  </sheetViews>
  <sheetFormatPr defaultRowHeight="14.5" x14ac:dyDescent="0.35"/>
  <cols>
    <col min="1" max="1" width="22" customWidth="1"/>
    <col min="2" max="3" width="24" customWidth="1"/>
    <col min="4" max="4" width="26" customWidth="1"/>
    <col min="5" max="5" width="28" customWidth="1"/>
    <col min="6" max="6" width="18" customWidth="1"/>
    <col min="7" max="7" width="12" customWidth="1"/>
    <col min="8" max="8" width="18" customWidth="1"/>
    <col min="9" max="16" width="14" customWidth="1"/>
  </cols>
  <sheetData>
    <row r="1" spans="1:16" ht="50" customHeight="1" x14ac:dyDescent="0.35">
      <c r="A1" s="109" t="s">
        <v>219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</row>
    <row r="2" spans="1:16" ht="16" customHeight="1" x14ac:dyDescent="0.35"/>
    <row r="3" spans="1:16" ht="50" customHeight="1" x14ac:dyDescent="0.35">
      <c r="A3" s="112" t="s">
        <v>220</v>
      </c>
      <c r="B3" s="65"/>
      <c r="C3" s="65"/>
      <c r="D3" s="111" t="s">
        <v>221</v>
      </c>
      <c r="E3" s="65"/>
      <c r="F3" s="65"/>
      <c r="G3" s="113" t="s">
        <v>93</v>
      </c>
      <c r="H3" s="65"/>
      <c r="I3" s="65"/>
      <c r="J3" s="117" t="s">
        <v>117</v>
      </c>
      <c r="K3" s="65"/>
      <c r="L3" s="65"/>
      <c r="M3" s="108" t="s">
        <v>222</v>
      </c>
      <c r="N3" s="65"/>
      <c r="O3" s="65"/>
      <c r="P3" s="65"/>
    </row>
    <row r="4" spans="1:16" ht="28" customHeight="1" x14ac:dyDescent="0.35">
      <c r="A4" s="116" t="s">
        <v>9</v>
      </c>
      <c r="B4" s="65"/>
      <c r="C4" s="65"/>
      <c r="D4" s="110" t="str">
        <f>'📋 RT App Migration Tracker'!D26</f>
        <v>2 / 7 Done</v>
      </c>
      <c r="E4" s="65"/>
      <c r="F4" s="65"/>
      <c r="G4" s="114">
        <f>COUNTIF('📋 RT App Migration Tracker'!D9:D15,"🔄 In Progress")</f>
        <v>2</v>
      </c>
      <c r="H4" s="65"/>
      <c r="I4" s="65"/>
      <c r="J4" s="115">
        <f>COUNTIF('📋 RT App Migration Tracker'!D9:D15,"📋 Planned")</f>
        <v>3</v>
      </c>
      <c r="K4" s="65"/>
      <c r="L4" s="65"/>
      <c r="M4" s="107">
        <f>COUNTIF('📋 RT App Migration Tracker'!D9:D15,"✅ Complete")/7</f>
        <v>0.2857142857142857</v>
      </c>
      <c r="N4" s="65"/>
      <c r="O4" s="65"/>
      <c r="P4" s="65"/>
    </row>
    <row r="5" spans="1:16" ht="16" customHeight="1" x14ac:dyDescent="0.35"/>
    <row r="6" spans="1:16" ht="24" customHeight="1" x14ac:dyDescent="0.35"/>
    <row r="7" spans="1:16" ht="20" customHeight="1" x14ac:dyDescent="0.35">
      <c r="A7" s="44" t="s">
        <v>165</v>
      </c>
      <c r="B7" s="44" t="s">
        <v>223</v>
      </c>
      <c r="C7" s="44" t="s">
        <v>224</v>
      </c>
      <c r="D7" s="44" t="s">
        <v>225</v>
      </c>
      <c r="E7" s="44" t="s">
        <v>226</v>
      </c>
      <c r="F7" s="44" t="s">
        <v>227</v>
      </c>
      <c r="G7" s="44" t="s">
        <v>228</v>
      </c>
      <c r="H7" s="44" t="s">
        <v>229</v>
      </c>
      <c r="I7" s="44" t="s">
        <v>230</v>
      </c>
      <c r="J7" s="44" t="s">
        <v>231</v>
      </c>
    </row>
    <row r="8" spans="1:16" ht="44" customHeight="1" x14ac:dyDescent="0.35">
      <c r="A8" s="45" t="s">
        <v>176</v>
      </c>
      <c r="B8" s="46" t="s">
        <v>56</v>
      </c>
      <c r="C8" s="47" t="s">
        <v>64</v>
      </c>
      <c r="D8" s="47" t="s">
        <v>57</v>
      </c>
      <c r="E8" s="47" t="s">
        <v>65</v>
      </c>
      <c r="F8" s="46" t="s">
        <v>71</v>
      </c>
      <c r="G8" s="46" t="s">
        <v>72</v>
      </c>
      <c r="H8" s="5" t="s">
        <v>55</v>
      </c>
      <c r="I8" s="5" t="s">
        <v>70</v>
      </c>
      <c r="J8" s="5" t="s">
        <v>70</v>
      </c>
    </row>
    <row r="9" spans="1:16" ht="44" customHeight="1" x14ac:dyDescent="0.35">
      <c r="A9" s="45" t="s">
        <v>183</v>
      </c>
      <c r="B9" s="46" t="s">
        <v>81</v>
      </c>
      <c r="C9" s="47" t="s">
        <v>84</v>
      </c>
      <c r="D9" s="47" t="s">
        <v>82</v>
      </c>
      <c r="E9" s="47" t="s">
        <v>85</v>
      </c>
      <c r="F9" s="46" t="s">
        <v>87</v>
      </c>
      <c r="G9" s="46" t="s">
        <v>72</v>
      </c>
      <c r="H9" s="5" t="s">
        <v>55</v>
      </c>
      <c r="I9" s="5" t="s">
        <v>70</v>
      </c>
      <c r="J9" s="5" t="s">
        <v>70</v>
      </c>
    </row>
    <row r="10" spans="1:16" ht="44" customHeight="1" x14ac:dyDescent="0.35">
      <c r="A10" s="48" t="s">
        <v>185</v>
      </c>
      <c r="B10" s="49" t="s">
        <v>94</v>
      </c>
      <c r="C10" s="50" t="s">
        <v>98</v>
      </c>
      <c r="D10" s="50" t="s">
        <v>95</v>
      </c>
      <c r="E10" s="50" t="s">
        <v>99</v>
      </c>
      <c r="F10" s="49" t="s">
        <v>102</v>
      </c>
      <c r="G10" s="49" t="s">
        <v>103</v>
      </c>
      <c r="H10" s="15" t="s">
        <v>93</v>
      </c>
      <c r="I10" s="15" t="s">
        <v>232</v>
      </c>
      <c r="J10" s="15" t="s">
        <v>232</v>
      </c>
    </row>
    <row r="11" spans="1:16" ht="44" customHeight="1" x14ac:dyDescent="0.35">
      <c r="A11" s="48" t="s">
        <v>187</v>
      </c>
      <c r="B11" s="49" t="s">
        <v>111</v>
      </c>
      <c r="C11" s="50" t="s">
        <v>114</v>
      </c>
      <c r="D11" s="50" t="s">
        <v>112</v>
      </c>
      <c r="E11" s="50" t="s">
        <v>115</v>
      </c>
      <c r="F11" s="49" t="s">
        <v>71</v>
      </c>
      <c r="G11" s="49" t="s">
        <v>103</v>
      </c>
      <c r="H11" s="15" t="s">
        <v>93</v>
      </c>
      <c r="I11" s="15" t="s">
        <v>232</v>
      </c>
      <c r="J11" s="22" t="s">
        <v>233</v>
      </c>
    </row>
    <row r="12" spans="1:16" ht="44" customHeight="1" x14ac:dyDescent="0.35">
      <c r="A12" s="51" t="s">
        <v>189</v>
      </c>
      <c r="B12" s="52" t="s">
        <v>123</v>
      </c>
      <c r="C12" s="53" t="s">
        <v>127</v>
      </c>
      <c r="D12" s="53" t="s">
        <v>124</v>
      </c>
      <c r="E12" s="53" t="s">
        <v>128</v>
      </c>
      <c r="F12" s="52" t="s">
        <v>87</v>
      </c>
      <c r="G12" s="52" t="s">
        <v>130</v>
      </c>
      <c r="H12" s="22" t="s">
        <v>117</v>
      </c>
      <c r="I12" s="22" t="s">
        <v>233</v>
      </c>
      <c r="J12" s="22" t="s">
        <v>233</v>
      </c>
    </row>
    <row r="13" spans="1:16" ht="44" customHeight="1" x14ac:dyDescent="0.35">
      <c r="A13" s="51" t="s">
        <v>191</v>
      </c>
      <c r="B13" s="52" t="s">
        <v>137</v>
      </c>
      <c r="C13" s="53" t="s">
        <v>140</v>
      </c>
      <c r="D13" s="53" t="s">
        <v>138</v>
      </c>
      <c r="E13" s="53" t="s">
        <v>141</v>
      </c>
      <c r="F13" s="52" t="s">
        <v>102</v>
      </c>
      <c r="G13" s="52" t="s">
        <v>130</v>
      </c>
      <c r="H13" s="22" t="s">
        <v>117</v>
      </c>
      <c r="I13" s="22" t="s">
        <v>233</v>
      </c>
      <c r="J13" s="22" t="s">
        <v>233</v>
      </c>
    </row>
    <row r="14" spans="1:16" ht="44" customHeight="1" x14ac:dyDescent="0.35">
      <c r="A14" s="51" t="s">
        <v>193</v>
      </c>
      <c r="B14" s="52" t="s">
        <v>147</v>
      </c>
      <c r="C14" s="53" t="s">
        <v>150</v>
      </c>
      <c r="D14" s="53" t="s">
        <v>148</v>
      </c>
      <c r="E14" s="53" t="s">
        <v>151</v>
      </c>
      <c r="F14" s="52" t="s">
        <v>102</v>
      </c>
      <c r="G14" s="52" t="s">
        <v>153</v>
      </c>
      <c r="H14" s="22" t="s">
        <v>117</v>
      </c>
      <c r="I14" s="22" t="s">
        <v>233</v>
      </c>
      <c r="J14" s="22" t="s">
        <v>233</v>
      </c>
    </row>
  </sheetData>
  <mergeCells count="11">
    <mergeCell ref="M4:P4"/>
    <mergeCell ref="M3:P3"/>
    <mergeCell ref="A1:P1"/>
    <mergeCell ref="D4:F4"/>
    <mergeCell ref="D3:F3"/>
    <mergeCell ref="A3:C3"/>
    <mergeCell ref="G3:I3"/>
    <mergeCell ref="G4:I4"/>
    <mergeCell ref="J4:L4"/>
    <mergeCell ref="A4:C4"/>
    <mergeCell ref="J3:L3"/>
  </mergeCells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75569"/>
  </sheetPr>
  <dimension ref="A1:H16"/>
  <sheetViews>
    <sheetView workbookViewId="0">
      <selection activeCell="A2" sqref="A2:B2"/>
    </sheetView>
  </sheetViews>
  <sheetFormatPr defaultRowHeight="14.5" x14ac:dyDescent="0.35"/>
  <cols>
    <col min="1" max="1" width="28" customWidth="1"/>
    <col min="2" max="2" width="36" customWidth="1"/>
    <col min="3" max="3" width="18" customWidth="1"/>
    <col min="4" max="4" width="50" customWidth="1"/>
    <col min="5" max="5" width="20" customWidth="1"/>
    <col min="6" max="6" width="50" customWidth="1"/>
  </cols>
  <sheetData>
    <row r="1" spans="1:8" ht="36" customHeight="1" x14ac:dyDescent="0.35">
      <c r="A1" s="120" t="s">
        <v>234</v>
      </c>
      <c r="B1" s="65"/>
      <c r="C1" s="65"/>
      <c r="D1" s="65"/>
      <c r="E1" s="65"/>
      <c r="F1" s="65"/>
      <c r="G1" s="65"/>
      <c r="H1" s="65"/>
    </row>
    <row r="2" spans="1:8" ht="24" customHeight="1" x14ac:dyDescent="0.35">
      <c r="A2" s="118" t="s">
        <v>235</v>
      </c>
      <c r="B2" s="65"/>
      <c r="D2" s="118" t="s">
        <v>236</v>
      </c>
      <c r="E2" s="65"/>
      <c r="F2" s="65"/>
    </row>
    <row r="3" spans="1:8" ht="30" customHeight="1" x14ac:dyDescent="0.35">
      <c r="A3" s="54" t="s">
        <v>55</v>
      </c>
      <c r="B3" s="55" t="s">
        <v>237</v>
      </c>
      <c r="D3" s="56" t="s">
        <v>238</v>
      </c>
      <c r="E3" s="119"/>
      <c r="F3" s="119"/>
    </row>
    <row r="4" spans="1:8" ht="30" customHeight="1" x14ac:dyDescent="0.35">
      <c r="A4" s="57" t="s">
        <v>93</v>
      </c>
      <c r="B4" s="58" t="s">
        <v>239</v>
      </c>
      <c r="D4" s="59" t="s">
        <v>240</v>
      </c>
      <c r="E4" s="119"/>
      <c r="F4" s="119"/>
    </row>
    <row r="5" spans="1:8" ht="30" customHeight="1" x14ac:dyDescent="0.35">
      <c r="A5" s="60" t="s">
        <v>117</v>
      </c>
      <c r="B5" s="61" t="s">
        <v>241</v>
      </c>
      <c r="D5" s="56" t="s">
        <v>242</v>
      </c>
      <c r="E5" s="119"/>
      <c r="F5" s="119"/>
    </row>
    <row r="6" spans="1:8" ht="30" customHeight="1" x14ac:dyDescent="0.35">
      <c r="A6" s="62" t="s">
        <v>243</v>
      </c>
      <c r="B6" s="63" t="s">
        <v>244</v>
      </c>
      <c r="D6" s="59" t="s">
        <v>245</v>
      </c>
      <c r="E6" s="119"/>
      <c r="F6" s="119"/>
    </row>
    <row r="7" spans="1:8" ht="30" customHeight="1" x14ac:dyDescent="0.35">
      <c r="D7" s="56" t="s">
        <v>246</v>
      </c>
      <c r="E7" s="119"/>
      <c r="F7" s="119"/>
    </row>
    <row r="8" spans="1:8" ht="30" customHeight="1" x14ac:dyDescent="0.35">
      <c r="D8" s="59" t="s">
        <v>247</v>
      </c>
      <c r="E8" s="119"/>
      <c r="F8" s="119"/>
    </row>
    <row r="9" spans="1:8" ht="30" customHeight="1" x14ac:dyDescent="0.35">
      <c r="D9" s="56" t="s">
        <v>248</v>
      </c>
      <c r="E9" s="119"/>
      <c r="F9" s="119"/>
    </row>
    <row r="10" spans="1:8" ht="30" customHeight="1" x14ac:dyDescent="0.35">
      <c r="D10" s="59" t="s">
        <v>206</v>
      </c>
      <c r="E10" s="119"/>
      <c r="F10" s="119"/>
    </row>
    <row r="11" spans="1:8" ht="30" customHeight="1" x14ac:dyDescent="0.35">
      <c r="D11" s="56" t="s">
        <v>249</v>
      </c>
      <c r="E11" s="119"/>
      <c r="F11" s="119"/>
    </row>
    <row r="12" spans="1:8" ht="30" customHeight="1" x14ac:dyDescent="0.35">
      <c r="D12" s="59" t="s">
        <v>250</v>
      </c>
      <c r="E12" s="119"/>
      <c r="F12" s="119"/>
    </row>
    <row r="13" spans="1:8" ht="30" customHeight="1" x14ac:dyDescent="0.35">
      <c r="D13" s="56" t="s">
        <v>12</v>
      </c>
      <c r="E13" s="119"/>
      <c r="F13" s="119"/>
    </row>
    <row r="14" spans="1:8" ht="30" customHeight="1" x14ac:dyDescent="0.35">
      <c r="D14" s="59" t="s">
        <v>251</v>
      </c>
      <c r="E14" s="119"/>
      <c r="F14" s="119"/>
    </row>
    <row r="15" spans="1:8" ht="30" customHeight="1" x14ac:dyDescent="0.35">
      <c r="D15" s="56" t="s">
        <v>252</v>
      </c>
      <c r="E15" s="119"/>
      <c r="F15" s="119"/>
    </row>
    <row r="16" spans="1:8" ht="30" customHeight="1" x14ac:dyDescent="0.35">
      <c r="D16" s="59" t="s">
        <v>253</v>
      </c>
      <c r="E16" s="119"/>
      <c r="F16" s="119"/>
    </row>
  </sheetData>
  <mergeCells count="17">
    <mergeCell ref="A1:H1"/>
    <mergeCell ref="E9:F9"/>
    <mergeCell ref="E8:F8"/>
    <mergeCell ref="E3:F3"/>
    <mergeCell ref="E16:F16"/>
    <mergeCell ref="E15:F15"/>
    <mergeCell ref="E7:F7"/>
    <mergeCell ref="E10:F10"/>
    <mergeCell ref="E11:F11"/>
    <mergeCell ref="E13:F13"/>
    <mergeCell ref="E14:F14"/>
    <mergeCell ref="D2:F2"/>
    <mergeCell ref="E12:F12"/>
    <mergeCell ref="E4:F4"/>
    <mergeCell ref="A2:B2"/>
    <mergeCell ref="E6:F6"/>
    <mergeCell ref="E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📋 RT App Migration Tracker</vt:lpstr>
      <vt:lpstr>⚙️ Server &amp; Endpoint Config</vt:lpstr>
      <vt:lpstr>📊 Topic &amp; Table Mapping</vt:lpstr>
      <vt:lpstr>📈 Dashboard</vt:lpstr>
      <vt:lpstr>📖 Legend &amp; Guide</vt:lpstr>
      <vt:lpstr>'📋 RT App Migration Tracker'!Print_Titles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Harendra Singh.</cp:lastModifiedBy>
  <dcterms:created xsi:type="dcterms:W3CDTF">2026-07-01T05:47:36Z</dcterms:created>
  <dcterms:modified xsi:type="dcterms:W3CDTF">2026-07-01T05:53:05Z</dcterms:modified>
</cp:coreProperties>
</file>